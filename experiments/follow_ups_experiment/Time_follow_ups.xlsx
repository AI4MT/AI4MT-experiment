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cles\2025\IST.IA4MeT.2025\AI4MeT\papers\IST.2025\eval\"/>
    </mc:Choice>
  </mc:AlternateContent>
  <xr:revisionPtr revIDLastSave="0" documentId="13_ncr:1_{BA6D6992-9EDD-49DA-A20C-42CB4DB2E3C7}" xr6:coauthVersionLast="47" xr6:coauthVersionMax="47" xr10:uidLastSave="{00000000-0000-0000-0000-000000000000}"/>
  <bookViews>
    <workbookView xWindow="-120" yWindow="-120" windowWidth="29040" windowHeight="15720" xr2:uid="{EE5527E9-ABBE-445B-A00D-E7F42F8EC6E8}"/>
  </bookViews>
  <sheets>
    <sheet name="computational cost" sheetId="3" r:id="rId1"/>
    <sheet name="gpt-5-nano" sheetId="1" r:id="rId2"/>
    <sheet name="o4-mini" sheetId="4" r:id="rId3"/>
    <sheet name="gpt-4o-mini" sheetId="5" r:id="rId4"/>
    <sheet name="gpt-4.1-mini" sheetId="6" r:id="rId5"/>
    <sheet name="gpt-5-mini" sheetId="7" r:id="rId6"/>
    <sheet name="computational cost--comparison" sheetId="8" r:id="rId7"/>
    <sheet name="cost--degradation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0" l="1"/>
  <c r="U5" i="10"/>
  <c r="U6" i="10"/>
  <c r="U7" i="10"/>
  <c r="U3" i="10"/>
  <c r="T4" i="10"/>
  <c r="T5" i="10"/>
  <c r="T6" i="10"/>
  <c r="T7" i="10"/>
  <c r="T3" i="10"/>
  <c r="S4" i="10"/>
  <c r="S5" i="10"/>
  <c r="S6" i="10"/>
  <c r="S7" i="10"/>
  <c r="S3" i="10"/>
  <c r="R4" i="10"/>
  <c r="R5" i="10"/>
  <c r="R6" i="10"/>
  <c r="R7" i="10"/>
  <c r="R3" i="10"/>
  <c r="Q4" i="10"/>
  <c r="Q5" i="10"/>
  <c r="Q6" i="10"/>
  <c r="Q7" i="10"/>
  <c r="Q3" i="10"/>
  <c r="Z7" i="7"/>
  <c r="Z6" i="7"/>
  <c r="Z5" i="7"/>
  <c r="Z4" i="7"/>
  <c r="Z3" i="7"/>
  <c r="Y7" i="7"/>
  <c r="Y6" i="7"/>
  <c r="Y5" i="7"/>
  <c r="Y4" i="7"/>
  <c r="Y3" i="7"/>
  <c r="X7" i="7"/>
  <c r="X6" i="7"/>
  <c r="X5" i="7"/>
  <c r="X4" i="7"/>
  <c r="X3" i="7"/>
  <c r="W7" i="7"/>
  <c r="W6" i="7"/>
  <c r="W5" i="7"/>
  <c r="W4" i="7"/>
  <c r="W3" i="7"/>
  <c r="V7" i="7"/>
  <c r="V6" i="7"/>
  <c r="V5" i="7"/>
  <c r="V4" i="7"/>
  <c r="V3" i="7"/>
  <c r="U7" i="7"/>
  <c r="U6" i="7"/>
  <c r="U5" i="7"/>
  <c r="U4" i="7"/>
  <c r="U3" i="7"/>
  <c r="T7" i="7"/>
  <c r="T6" i="7"/>
  <c r="T5" i="7"/>
  <c r="T4" i="7"/>
  <c r="T3" i="7"/>
  <c r="S7" i="7"/>
  <c r="S6" i="7"/>
  <c r="S5" i="7"/>
  <c r="S4" i="7"/>
  <c r="S3" i="7"/>
  <c r="Z7" i="6"/>
  <c r="Z6" i="6"/>
  <c r="Z5" i="6"/>
  <c r="Z4" i="6"/>
  <c r="Z3" i="6"/>
  <c r="Y7" i="6"/>
  <c r="Y6" i="6"/>
  <c r="Y5" i="6"/>
  <c r="Y4" i="6"/>
  <c r="Y3" i="6"/>
  <c r="X7" i="6"/>
  <c r="X6" i="6"/>
  <c r="X5" i="6"/>
  <c r="X4" i="6"/>
  <c r="X3" i="6"/>
  <c r="W7" i="6"/>
  <c r="W6" i="6"/>
  <c r="W5" i="6"/>
  <c r="W4" i="6"/>
  <c r="W3" i="6"/>
  <c r="V7" i="6"/>
  <c r="V6" i="6"/>
  <c r="V5" i="6"/>
  <c r="V4" i="6"/>
  <c r="V3" i="6"/>
  <c r="U7" i="6"/>
  <c r="U6" i="6"/>
  <c r="U5" i="6"/>
  <c r="U4" i="6"/>
  <c r="U3" i="6"/>
  <c r="T7" i="6"/>
  <c r="T6" i="6"/>
  <c r="T5" i="6"/>
  <c r="T5" i="5"/>
  <c r="T4" i="6"/>
  <c r="T3" i="6"/>
  <c r="S7" i="6"/>
  <c r="S6" i="6"/>
  <c r="S5" i="6"/>
  <c r="S4" i="6"/>
  <c r="S3" i="6"/>
  <c r="Z7" i="5"/>
  <c r="Z6" i="5"/>
  <c r="Z5" i="5"/>
  <c r="Z4" i="5"/>
  <c r="Z3" i="5"/>
  <c r="Y7" i="5"/>
  <c r="Y6" i="5"/>
  <c r="Y5" i="5"/>
  <c r="Y4" i="5"/>
  <c r="Y3" i="5"/>
  <c r="X7" i="5"/>
  <c r="X6" i="5"/>
  <c r="X5" i="5"/>
  <c r="X4" i="5"/>
  <c r="X3" i="5"/>
  <c r="W7" i="5"/>
  <c r="W6" i="5"/>
  <c r="W5" i="5"/>
  <c r="W4" i="5"/>
  <c r="W3" i="5"/>
  <c r="V7" i="5"/>
  <c r="V6" i="5"/>
  <c r="V5" i="5"/>
  <c r="V4" i="5"/>
  <c r="V3" i="5"/>
  <c r="U7" i="5"/>
  <c r="U6" i="5"/>
  <c r="U5" i="5"/>
  <c r="U4" i="5"/>
  <c r="U3" i="5"/>
  <c r="T7" i="5"/>
  <c r="T6" i="5"/>
  <c r="T4" i="5"/>
  <c r="T3" i="5"/>
  <c r="S7" i="5"/>
  <c r="S6" i="5"/>
  <c r="S5" i="5"/>
  <c r="S4" i="5"/>
  <c r="S3" i="5"/>
  <c r="Z7" i="4"/>
  <c r="Z6" i="4"/>
  <c r="Z5" i="4"/>
  <c r="Z4" i="4"/>
  <c r="Z3" i="4"/>
  <c r="Y7" i="4"/>
  <c r="Y6" i="4"/>
  <c r="Y5" i="4"/>
  <c r="Y4" i="4"/>
  <c r="Y3" i="4"/>
  <c r="X7" i="4"/>
  <c r="X6" i="4"/>
  <c r="X5" i="4"/>
  <c r="X4" i="4"/>
  <c r="X3" i="4"/>
  <c r="W7" i="4"/>
  <c r="W6" i="4"/>
  <c r="W5" i="4"/>
  <c r="W4" i="4"/>
  <c r="W3" i="4"/>
  <c r="V7" i="4"/>
  <c r="V6" i="4"/>
  <c r="V5" i="4"/>
  <c r="V4" i="4"/>
  <c r="V3" i="4"/>
  <c r="U7" i="4"/>
  <c r="U6" i="4"/>
  <c r="U5" i="4"/>
  <c r="U4" i="4"/>
  <c r="U3" i="4"/>
  <c r="T7" i="4"/>
  <c r="T6" i="4"/>
  <c r="T5" i="4"/>
  <c r="T4" i="4"/>
  <c r="T3" i="4"/>
  <c r="S7" i="4"/>
  <c r="S6" i="4"/>
  <c r="S5" i="4"/>
  <c r="S4" i="4"/>
  <c r="S3" i="4"/>
  <c r="Z7" i="1"/>
  <c r="Y7" i="1"/>
  <c r="Z6" i="1"/>
  <c r="Y6" i="1"/>
  <c r="Z5" i="1"/>
  <c r="Y5" i="1"/>
  <c r="Z4" i="1"/>
  <c r="Y4" i="1"/>
  <c r="Z3" i="1"/>
  <c r="Y3" i="1"/>
  <c r="X7" i="1"/>
  <c r="W7" i="1"/>
  <c r="X6" i="1"/>
  <c r="W6" i="1"/>
  <c r="X5" i="1"/>
  <c r="W5" i="1"/>
  <c r="X4" i="1"/>
  <c r="W4" i="1"/>
  <c r="X3" i="1"/>
  <c r="W3" i="1"/>
  <c r="V7" i="1"/>
  <c r="U7" i="1"/>
  <c r="V6" i="1"/>
  <c r="U6" i="1"/>
  <c r="V5" i="1"/>
  <c r="U5" i="1"/>
  <c r="V4" i="1"/>
  <c r="U4" i="1"/>
  <c r="V3" i="1"/>
  <c r="U3" i="1"/>
  <c r="T7" i="1"/>
  <c r="S7" i="1"/>
  <c r="T6" i="1"/>
  <c r="S6" i="1"/>
  <c r="T5" i="1"/>
  <c r="S5" i="1"/>
  <c r="T4" i="1"/>
  <c r="S4" i="1"/>
  <c r="T3" i="1"/>
  <c r="S3" i="1"/>
</calcChain>
</file>

<file path=xl/sharedStrings.xml><?xml version="1.0" encoding="utf-8"?>
<sst xmlns="http://schemas.openxmlformats.org/spreadsheetml/2006/main" count="497" uniqueCount="36">
  <si>
    <t>Data centers</t>
  </si>
  <si>
    <t>size 1</t>
  </si>
  <si>
    <t>LLM</t>
  </si>
  <si>
    <t>Model size</t>
  </si>
  <si>
    <t>size 2</t>
  </si>
  <si>
    <t>gpt-5-nano</t>
  </si>
  <si>
    <t>o4-mini</t>
  </si>
  <si>
    <t>gpt-4o-mini</t>
  </si>
  <si>
    <t>gpt-4.1-mini</t>
  </si>
  <si>
    <t>gpt-5-mini</t>
  </si>
  <si>
    <t>size 3</t>
  </si>
  <si>
    <t>size 4</t>
  </si>
  <si>
    <t>size 5</t>
  </si>
  <si>
    <t>Autonomous Vehicles</t>
  </si>
  <si>
    <t>Words</t>
  </si>
  <si>
    <t>Automata</t>
  </si>
  <si>
    <t>XMI 
repairs</t>
  </si>
  <si>
    <t>Semantic 
repairs</t>
  </si>
  <si>
    <t>Average 
time</t>
  </si>
  <si>
    <t>gpt-4.1-mini: the fastest in general (17 times out of 20)</t>
  </si>
  <si>
    <t>o4-mini and gpt-5-mini, the least number of repairs (they become the fastest when the others need to repair)</t>
  </si>
  <si>
    <t>gpt-4o-mini is actually the fastest LLM, but fails a lot, requiring many repairs</t>
  </si>
  <si>
    <t>Repairs in slow LLMs has high penalty (see words for gpt-4-mini, in which the slowest time was with the smaller models, because it needed 6 repairs)</t>
  </si>
  <si>
    <t>repairs</t>
  </si>
  <si>
    <t>time</t>
  </si>
  <si>
    <t>data centers</t>
  </si>
  <si>
    <t>autonomous vehicles</t>
  </si>
  <si>
    <t>automata</t>
  </si>
  <si>
    <t>words</t>
  </si>
  <si>
    <t>size</t>
  </si>
  <si>
    <t>o4-mini and gpt-5-mini, the least number of repairs (they become the fastest when the others need to repair, when models become bigger)</t>
  </si>
  <si>
    <t>Syntactic 
cycles</t>
  </si>
  <si>
    <t>Semantic 
cycles</t>
  </si>
  <si>
    <t>vehicles</t>
  </si>
  <si>
    <t xml:space="preserve">automata 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</si>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</sst>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1" xfId="0" applyFill="1" applyBorder="1"/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0" fontId="0" fillId="4" borderId="13" xfId="0" applyFill="1" applyBorder="1"/>
    <xf numFmtId="0" fontId="0" fillId="4" borderId="12" xfId="0" applyFill="1" applyBorder="1"/>
    <xf numFmtId="0" fontId="0" fillId="4" borderId="12" xfId="0" applyFill="1" applyBorder="1" applyAlignment="1">
      <alignment horizontal="center" wrapText="1"/>
    </xf>
    <xf numFmtId="0" fontId="0" fillId="2" borderId="22" xfId="0" applyFill="1" applyBorder="1"/>
    <xf numFmtId="0" fontId="0" fillId="0" borderId="8" xfId="0" applyBorder="1"/>
    <xf numFmtId="2" fontId="0" fillId="0" borderId="8" xfId="0" applyNumberFormat="1" applyBorder="1"/>
    <xf numFmtId="0" fontId="1" fillId="0" borderId="8" xfId="0" applyFont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26" xfId="0" applyFill="1" applyBorder="1"/>
    <xf numFmtId="2" fontId="0" fillId="0" borderId="15" xfId="0" applyNumberFormat="1" applyBorder="1"/>
    <xf numFmtId="2" fontId="0" fillId="0" borderId="20" xfId="0" applyNumberFormat="1" applyBorder="1"/>
    <xf numFmtId="0" fontId="0" fillId="4" borderId="27" xfId="0" applyFill="1" applyBorder="1"/>
    <xf numFmtId="2" fontId="0" fillId="0" borderId="28" xfId="0" applyNumberFormat="1" applyBorder="1"/>
    <xf numFmtId="2" fontId="0" fillId="0" borderId="29" xfId="0" applyNumberFormat="1" applyBorder="1"/>
    <xf numFmtId="2" fontId="0" fillId="0" borderId="30" xfId="0" applyNumberFormat="1" applyBorder="1"/>
    <xf numFmtId="0" fontId="0" fillId="4" borderId="25" xfId="0" applyFill="1" applyBorder="1"/>
    <xf numFmtId="0" fontId="0" fillId="4" borderId="31" xfId="0" applyFill="1" applyBorder="1"/>
    <xf numFmtId="2" fontId="0" fillId="0" borderId="32" xfId="0" applyNumberFormat="1" applyBorder="1"/>
    <xf numFmtId="2" fontId="0" fillId="0" borderId="33" xfId="0" applyNumberFormat="1" applyBorder="1"/>
    <xf numFmtId="2" fontId="0" fillId="0" borderId="34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size vs repairs for gpt-5-nano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'gpt-5-nano'!$S$1</c:f>
              <c:strCache>
                <c:ptCount val="1"/>
                <c:pt idx="0">
                  <c:v>data centers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'gpt-5-nano'!$R$3:$R$7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'gpt-5-nano'!$S$3:$S$7</c:f>
              <c:numCache>
                <c:formatCode>General</c:formatCode>
                <c:ptCount val="5"/>
                <c:pt idx="0">
                  <c:v>15</c:v>
                </c:pt>
                <c:pt idx="1">
                  <c:v>9</c:v>
                </c:pt>
                <c:pt idx="2">
                  <c:v>60</c:v>
                </c:pt>
                <c:pt idx="3">
                  <c:v>98</c:v>
                </c:pt>
                <c:pt idx="4">
                  <c:v>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75-4234-9D79-72BF13D67AF4}"/>
            </c:ext>
          </c:extLst>
        </c:ser>
        <c:ser>
          <c:idx val="1"/>
          <c:order val="1"/>
          <c:tx>
            <c:strRef>
              <c:f>'gpt-5-nano'!$U$1</c:f>
              <c:strCache>
                <c:ptCount val="1"/>
                <c:pt idx="0">
                  <c:v>autonomous vehicles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'gpt-5-nano'!$R$3:$R$7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'gpt-5-nano'!$U$3:$U$7</c:f>
              <c:numCache>
                <c:formatCode>General</c:formatCode>
                <c:ptCount val="5"/>
                <c:pt idx="0">
                  <c:v>20</c:v>
                </c:pt>
                <c:pt idx="1">
                  <c:v>49</c:v>
                </c:pt>
                <c:pt idx="2">
                  <c:v>22</c:v>
                </c:pt>
                <c:pt idx="3">
                  <c:v>42</c:v>
                </c:pt>
                <c:pt idx="4">
                  <c:v>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75-4234-9D79-72BF13D67AF4}"/>
            </c:ext>
          </c:extLst>
        </c:ser>
        <c:ser>
          <c:idx val="2"/>
          <c:order val="2"/>
          <c:tx>
            <c:strRef>
              <c:f>'gpt-5-nano'!$W$1</c:f>
              <c:strCache>
                <c:ptCount val="1"/>
                <c:pt idx="0">
                  <c:v>automata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'gpt-5-nano'!$R$3:$R$7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'gpt-5-nano'!$W$3:$W$7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75-4234-9D79-72BF13D67AF4}"/>
            </c:ext>
          </c:extLst>
        </c:ser>
        <c:ser>
          <c:idx val="3"/>
          <c:order val="3"/>
          <c:tx>
            <c:strRef>
              <c:f>'gpt-5-nano'!$Y$1</c:f>
              <c:strCache>
                <c:ptCount val="1"/>
                <c:pt idx="0">
                  <c:v>words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'gpt-5-nano'!$R$3:$R$7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'gpt-5-nano'!$Y$3:$Y$7</c:f>
              <c:numCache>
                <c:formatCode>General</c:formatCode>
                <c:ptCount val="5"/>
                <c:pt idx="0">
                  <c:v>7</c:v>
                </c:pt>
                <c:pt idx="1">
                  <c:v>21</c:v>
                </c:pt>
                <c:pt idx="2">
                  <c:v>6</c:v>
                </c:pt>
                <c:pt idx="3">
                  <c:v>6</c:v>
                </c:pt>
                <c:pt idx="4">
                  <c:v>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B75-4234-9D79-72BF13D67A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2000864"/>
        <c:axId val="1781988384"/>
      </c:scatterChart>
      <c:valAx>
        <c:axId val="1782000864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1988384"/>
        <c:crosses val="autoZero"/>
        <c:crossBetween val="midCat"/>
      </c:valAx>
      <c:valAx>
        <c:axId val="178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#repairs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200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size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'gpt-5-nano'!$S$1</c:f>
              <c:strCache>
                <c:ptCount val="1"/>
                <c:pt idx="0">
                  <c:v>data centers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'gpt-5-nano'!$R$3:$R$7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'gpt-5-nano'!$T$3:$T$7</c:f>
              <c:numCache>
                <c:formatCode>0.00</c:formatCode>
                <c:ptCount val="5"/>
                <c:pt idx="0">
                  <c:v>20.6342</c:v>
                </c:pt>
                <c:pt idx="1">
                  <c:v>27.446400000000001</c:v>
                </c:pt>
                <c:pt idx="2">
                  <c:v>43.213000000000001</c:v>
                </c:pt>
                <c:pt idx="3">
                  <c:v>44.689400000000006</c:v>
                </c:pt>
                <c:pt idx="4">
                  <c:v>157.15860000000004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2F-432A-ABEC-4D43B7D20EB8}"/>
            </c:ext>
          </c:extLst>
        </c:ser>
        <c:ser>
          <c:idx val="1"/>
          <c:order val="1"/>
          <c:tx>
            <c:strRef>
              <c:f>'gpt-5-nano'!$U$1</c:f>
              <c:strCache>
                <c:ptCount val="1"/>
                <c:pt idx="0">
                  <c:v>autonomous vehicles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'gpt-5-nano'!$R$3:$R$7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'gpt-5-nano'!$V$3:$V$7</c:f>
              <c:numCache>
                <c:formatCode>0.00</c:formatCode>
                <c:ptCount val="5"/>
                <c:pt idx="0">
                  <c:v>28.052666666666667</c:v>
                </c:pt>
                <c:pt idx="1">
                  <c:v>34.238333333333337</c:v>
                </c:pt>
                <c:pt idx="2">
                  <c:v>32.008000000000003</c:v>
                </c:pt>
                <c:pt idx="3">
                  <c:v>51.801000000000009</c:v>
                </c:pt>
                <c:pt idx="4">
                  <c:v>107.09566666666666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2F-432A-ABEC-4D43B7D20EB8}"/>
            </c:ext>
          </c:extLst>
        </c:ser>
        <c:ser>
          <c:idx val="2"/>
          <c:order val="2"/>
          <c:tx>
            <c:strRef>
              <c:f>'gpt-5-nano'!$W$1</c:f>
              <c:strCache>
                <c:ptCount val="1"/>
                <c:pt idx="0">
                  <c:v>automata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'gpt-5-nano'!$R$3:$R$7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'gpt-5-nano'!$X$3:$X$7</c:f>
              <c:numCache>
                <c:formatCode>0.00</c:formatCode>
                <c:ptCount val="5"/>
                <c:pt idx="0">
                  <c:v>58.119</c:v>
                </c:pt>
                <c:pt idx="1">
                  <c:v>62.658999999999999</c:v>
                </c:pt>
                <c:pt idx="2">
                  <c:v>47.829000000000001</c:v>
                </c:pt>
                <c:pt idx="3">
                  <c:v>86.951999999999998</c:v>
                </c:pt>
                <c:pt idx="4">
                  <c:v>112.268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2F-432A-ABEC-4D43B7D20EB8}"/>
            </c:ext>
          </c:extLst>
        </c:ser>
        <c:ser>
          <c:idx val="3"/>
          <c:order val="3"/>
          <c:tx>
            <c:strRef>
              <c:f>'gpt-5-nano'!$Y$1</c:f>
              <c:strCache>
                <c:ptCount val="1"/>
                <c:pt idx="0">
                  <c:v>words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'gpt-5-nano'!$R$3:$R$7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'gpt-5-nano'!$Z$3:$Z$7</c:f>
              <c:numCache>
                <c:formatCode>0.00</c:formatCode>
                <c:ptCount val="5"/>
                <c:pt idx="0">
                  <c:v>22.875500000000002</c:v>
                </c:pt>
                <c:pt idx="1">
                  <c:v>32.042999999999999</c:v>
                </c:pt>
                <c:pt idx="2">
                  <c:v>25.389499999999998</c:v>
                </c:pt>
                <c:pt idx="3">
                  <c:v>33.594000000000001</c:v>
                </c:pt>
                <c:pt idx="4">
                  <c:v>246.48149999999998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2F-432A-ABEC-4D43B7D20EB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2000864"/>
        <c:axId val="1781988384"/>
      </c:scatterChart>
      <c:valAx>
        <c:axId val="1782000864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1988384"/>
        <c:crosses val="autoZero"/>
        <c:crossBetween val="midCat"/>
      </c:valAx>
      <c:valAx>
        <c:axId val="178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200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repairs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'gpt-5-nano'!$S$1</c:f>
              <c:strCache>
                <c:ptCount val="1"/>
                <c:pt idx="0">
                  <c:v>data centers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'gpt-5-nano'!$S$3:$S$7</c:f>
              <c:numCache>
                <c:formatCode>General</c:formatCode>
                <c:ptCount val="5"/>
                <c:pt idx="0">
                  <c:v>15</c:v>
                </c:pt>
                <c:pt idx="1">
                  <c:v>9</c:v>
                </c:pt>
                <c:pt idx="2">
                  <c:v>60</c:v>
                </c:pt>
                <c:pt idx="3">
                  <c:v>98</c:v>
                </c:pt>
                <c:pt idx="4">
                  <c:v>288</c:v>
                </c:pt>
              </c:numCache>
            </c:numRef>
          </c:xVal>
          <c:yVal>
            <c:numRef>
              <c:f>'gpt-5-nano'!$T$3:$T$7</c:f>
              <c:numCache>
                <c:formatCode>0.00</c:formatCode>
                <c:ptCount val="5"/>
                <c:pt idx="0">
                  <c:v>20.6342</c:v>
                </c:pt>
                <c:pt idx="1">
                  <c:v>27.446400000000001</c:v>
                </c:pt>
                <c:pt idx="2">
                  <c:v>43.213000000000001</c:v>
                </c:pt>
                <c:pt idx="3">
                  <c:v>44.689400000000006</c:v>
                </c:pt>
                <c:pt idx="4">
                  <c:v>157.15860000000004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1E-4458-8329-7F1FE889A585}"/>
            </c:ext>
          </c:extLst>
        </c:ser>
        <c:ser>
          <c:idx val="1"/>
          <c:order val="1"/>
          <c:tx>
            <c:strRef>
              <c:f>'gpt-5-nano'!$U$1</c:f>
              <c:strCache>
                <c:ptCount val="1"/>
                <c:pt idx="0">
                  <c:v>autonomous vehicles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'gpt-5-nano'!$U$3:$U$7</c:f>
              <c:numCache>
                <c:formatCode>General</c:formatCode>
                <c:ptCount val="5"/>
                <c:pt idx="0">
                  <c:v>20</c:v>
                </c:pt>
                <c:pt idx="1">
                  <c:v>49</c:v>
                </c:pt>
                <c:pt idx="2">
                  <c:v>22</c:v>
                </c:pt>
                <c:pt idx="3">
                  <c:v>42</c:v>
                </c:pt>
                <c:pt idx="4">
                  <c:v>152</c:v>
                </c:pt>
              </c:numCache>
            </c:numRef>
          </c:xVal>
          <c:yVal>
            <c:numRef>
              <c:f>'gpt-5-nano'!$V$3:$V$7</c:f>
              <c:numCache>
                <c:formatCode>0.00</c:formatCode>
                <c:ptCount val="5"/>
                <c:pt idx="0">
                  <c:v>28.052666666666667</c:v>
                </c:pt>
                <c:pt idx="1">
                  <c:v>34.238333333333337</c:v>
                </c:pt>
                <c:pt idx="2">
                  <c:v>32.008000000000003</c:v>
                </c:pt>
                <c:pt idx="3">
                  <c:v>51.801000000000009</c:v>
                </c:pt>
                <c:pt idx="4">
                  <c:v>107.09566666666666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1E-4458-8329-7F1FE889A585}"/>
            </c:ext>
          </c:extLst>
        </c:ser>
        <c:ser>
          <c:idx val="2"/>
          <c:order val="2"/>
          <c:tx>
            <c:strRef>
              <c:f>'gpt-5-nano'!$W$1</c:f>
              <c:strCache>
                <c:ptCount val="1"/>
                <c:pt idx="0">
                  <c:v>automata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'gpt-5-nano'!$W$3:$W$7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</c:numCache>
            </c:numRef>
          </c:xVal>
          <c:yVal>
            <c:numRef>
              <c:f>'gpt-5-nano'!$X$3:$X$7</c:f>
              <c:numCache>
                <c:formatCode>0.00</c:formatCode>
                <c:ptCount val="5"/>
                <c:pt idx="0">
                  <c:v>58.119</c:v>
                </c:pt>
                <c:pt idx="1">
                  <c:v>62.658999999999999</c:v>
                </c:pt>
                <c:pt idx="2">
                  <c:v>47.829000000000001</c:v>
                </c:pt>
                <c:pt idx="3">
                  <c:v>86.951999999999998</c:v>
                </c:pt>
                <c:pt idx="4">
                  <c:v>112.268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1E-4458-8329-7F1FE889A585}"/>
            </c:ext>
          </c:extLst>
        </c:ser>
        <c:ser>
          <c:idx val="3"/>
          <c:order val="3"/>
          <c:tx>
            <c:strRef>
              <c:f>'gpt-5-nano'!$Y$1</c:f>
              <c:strCache>
                <c:ptCount val="1"/>
                <c:pt idx="0">
                  <c:v>words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'gpt-5-nano'!$Y$3:$Y$7</c:f>
              <c:numCache>
                <c:formatCode>General</c:formatCode>
                <c:ptCount val="5"/>
                <c:pt idx="0">
                  <c:v>7</c:v>
                </c:pt>
                <c:pt idx="1">
                  <c:v>21</c:v>
                </c:pt>
                <c:pt idx="2">
                  <c:v>6</c:v>
                </c:pt>
                <c:pt idx="3">
                  <c:v>6</c:v>
                </c:pt>
                <c:pt idx="4">
                  <c:v>36</c:v>
                </c:pt>
              </c:numCache>
            </c:numRef>
          </c:xVal>
          <c:yVal>
            <c:numRef>
              <c:f>'gpt-5-nano'!$Z$3:$Z$7</c:f>
              <c:numCache>
                <c:formatCode>0.00</c:formatCode>
                <c:ptCount val="5"/>
                <c:pt idx="0">
                  <c:v>22.875500000000002</c:v>
                </c:pt>
                <c:pt idx="1">
                  <c:v>32.042999999999999</c:v>
                </c:pt>
                <c:pt idx="2">
                  <c:v>25.389499999999998</c:v>
                </c:pt>
                <c:pt idx="3">
                  <c:v>33.594000000000001</c:v>
                </c:pt>
                <c:pt idx="4">
                  <c:v>246.48149999999998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1E-4458-8329-7F1FE889A58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2000864"/>
        <c:axId val="1781988384"/>
      </c:scatterChart>
      <c:valAx>
        <c:axId val="178200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repairs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1988384"/>
        <c:crosses val="autoZero"/>
        <c:crossBetween val="midCat"/>
      </c:valAx>
      <c:valAx>
        <c:axId val="178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200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size vs repairs for gpt-5-nano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'o4-mini'!$S$1</c:f>
              <c:strCache>
                <c:ptCount val="1"/>
                <c:pt idx="0">
                  <c:v>data centers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'o4-mini'!$R$3:$R$7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'o4-mini'!$S$3:$S$7</c:f>
              <c:numCache>
                <c:formatCode>General</c:formatCode>
                <c:ptCount val="5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91-452D-8E75-74E9F46E0916}"/>
            </c:ext>
          </c:extLst>
        </c:ser>
        <c:ser>
          <c:idx val="1"/>
          <c:order val="1"/>
          <c:tx>
            <c:strRef>
              <c:f>'o4-mini'!$U$1</c:f>
              <c:strCache>
                <c:ptCount val="1"/>
                <c:pt idx="0">
                  <c:v>autonomous vehicles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'o4-mini'!$R$3:$R$7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'o4-mini'!$U$3:$U$7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91-452D-8E75-74E9F46E0916}"/>
            </c:ext>
          </c:extLst>
        </c:ser>
        <c:ser>
          <c:idx val="2"/>
          <c:order val="2"/>
          <c:tx>
            <c:strRef>
              <c:f>'o4-mini'!$W$1</c:f>
              <c:strCache>
                <c:ptCount val="1"/>
                <c:pt idx="0">
                  <c:v>automata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'o4-mini'!$R$3:$R$7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'o4-mini'!$W$3:$W$7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91-452D-8E75-74E9F46E0916}"/>
            </c:ext>
          </c:extLst>
        </c:ser>
        <c:ser>
          <c:idx val="3"/>
          <c:order val="3"/>
          <c:tx>
            <c:strRef>
              <c:f>'o4-mini'!$Y$1</c:f>
              <c:strCache>
                <c:ptCount val="1"/>
                <c:pt idx="0">
                  <c:v>words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'o4-mini'!$R$3:$R$7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'o4-mini'!$Y$3:$Y$7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91-452D-8E75-74E9F46E091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2000864"/>
        <c:axId val="1781988384"/>
      </c:scatterChart>
      <c:valAx>
        <c:axId val="1782000864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1988384"/>
        <c:crosses val="autoZero"/>
        <c:crossBetween val="midCat"/>
      </c:valAx>
      <c:valAx>
        <c:axId val="178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#repairs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200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size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'o4-mini'!$S$1</c:f>
              <c:strCache>
                <c:ptCount val="1"/>
                <c:pt idx="0">
                  <c:v>data centers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'o4-mini'!$R$3:$R$7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'o4-mini'!$T$3:$T$7</c:f>
              <c:numCache>
                <c:formatCode>0.00</c:formatCode>
                <c:ptCount val="5"/>
                <c:pt idx="0">
                  <c:v>12.1792</c:v>
                </c:pt>
                <c:pt idx="1">
                  <c:v>18.651800000000001</c:v>
                </c:pt>
                <c:pt idx="2">
                  <c:v>23.866999999999997</c:v>
                </c:pt>
                <c:pt idx="3">
                  <c:v>29.6538</c:v>
                </c:pt>
                <c:pt idx="4">
                  <c:v>42.4148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6E-4ED6-B70A-996C22E1BAE9}"/>
            </c:ext>
          </c:extLst>
        </c:ser>
        <c:ser>
          <c:idx val="1"/>
          <c:order val="1"/>
          <c:tx>
            <c:strRef>
              <c:f>'o4-mini'!$U$1</c:f>
              <c:strCache>
                <c:ptCount val="1"/>
                <c:pt idx="0">
                  <c:v>autonomous vehicles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'o4-mini'!$R$3:$R$7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'o4-mini'!$V$3:$V$7</c:f>
              <c:numCache>
                <c:formatCode>0.00</c:formatCode>
                <c:ptCount val="5"/>
                <c:pt idx="0">
                  <c:v>20.236999999999998</c:v>
                </c:pt>
                <c:pt idx="1">
                  <c:v>18.156333333333333</c:v>
                </c:pt>
                <c:pt idx="2">
                  <c:v>21.609666666666669</c:v>
                </c:pt>
                <c:pt idx="3">
                  <c:v>29.847333333333335</c:v>
                </c:pt>
                <c:pt idx="4">
                  <c:v>41.159666666666674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6E-4ED6-B70A-996C22E1BAE9}"/>
            </c:ext>
          </c:extLst>
        </c:ser>
        <c:ser>
          <c:idx val="2"/>
          <c:order val="2"/>
          <c:tx>
            <c:strRef>
              <c:f>'o4-mini'!$W$1</c:f>
              <c:strCache>
                <c:ptCount val="1"/>
                <c:pt idx="0">
                  <c:v>automata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'o4-mini'!$R$3:$R$7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'o4-mini'!$X$3:$X$7</c:f>
              <c:numCache>
                <c:formatCode>0.00</c:formatCode>
                <c:ptCount val="5"/>
                <c:pt idx="0">
                  <c:v>20.944499999999998</c:v>
                </c:pt>
                <c:pt idx="1">
                  <c:v>18.381499999999999</c:v>
                </c:pt>
                <c:pt idx="2">
                  <c:v>21.009</c:v>
                </c:pt>
                <c:pt idx="3">
                  <c:v>27.863500000000002</c:v>
                </c:pt>
                <c:pt idx="4">
                  <c:v>69.332999999999998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6E-4ED6-B70A-996C22E1BAE9}"/>
            </c:ext>
          </c:extLst>
        </c:ser>
        <c:ser>
          <c:idx val="3"/>
          <c:order val="3"/>
          <c:tx>
            <c:strRef>
              <c:f>'o4-mini'!$Y$1</c:f>
              <c:strCache>
                <c:ptCount val="1"/>
                <c:pt idx="0">
                  <c:v>words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'o4-mini'!$R$3:$R$7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'o4-mini'!$Z$3:$Z$7</c:f>
              <c:numCache>
                <c:formatCode>0.00</c:formatCode>
                <c:ptCount val="5"/>
                <c:pt idx="0">
                  <c:v>11.448499999999999</c:v>
                </c:pt>
                <c:pt idx="1">
                  <c:v>11.061500000000001</c:v>
                </c:pt>
                <c:pt idx="2">
                  <c:v>12.815</c:v>
                </c:pt>
                <c:pt idx="3">
                  <c:v>20.045500000000001</c:v>
                </c:pt>
                <c:pt idx="4">
                  <c:v>24.628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6E-4ED6-B70A-996C22E1BA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2000864"/>
        <c:axId val="1781988384"/>
      </c:scatterChart>
      <c:valAx>
        <c:axId val="1782000864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1988384"/>
        <c:crosses val="autoZero"/>
        <c:crossBetween val="midCat"/>
      </c:valAx>
      <c:valAx>
        <c:axId val="178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200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repairs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'o4-mini'!$S$1</c:f>
              <c:strCache>
                <c:ptCount val="1"/>
                <c:pt idx="0">
                  <c:v>data centers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'o4-mini'!$S$3:$S$7</c:f>
              <c:numCache>
                <c:formatCode>General</c:formatCode>
                <c:ptCount val="5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</c:numCache>
            </c:numRef>
          </c:xVal>
          <c:yVal>
            <c:numRef>
              <c:f>'o4-mini'!$T$3:$T$7</c:f>
              <c:numCache>
                <c:formatCode>0.00</c:formatCode>
                <c:ptCount val="5"/>
                <c:pt idx="0">
                  <c:v>12.1792</c:v>
                </c:pt>
                <c:pt idx="1">
                  <c:v>18.651800000000001</c:v>
                </c:pt>
                <c:pt idx="2">
                  <c:v>23.866999999999997</c:v>
                </c:pt>
                <c:pt idx="3">
                  <c:v>29.6538</c:v>
                </c:pt>
                <c:pt idx="4">
                  <c:v>42.4148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0F-4D14-BC88-FD82A23D0C16}"/>
            </c:ext>
          </c:extLst>
        </c:ser>
        <c:ser>
          <c:idx val="1"/>
          <c:order val="1"/>
          <c:tx>
            <c:strRef>
              <c:f>'o4-mini'!$U$1</c:f>
              <c:strCache>
                <c:ptCount val="1"/>
                <c:pt idx="0">
                  <c:v>autonomous vehicles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'o4-mini'!$U$3:$U$7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</c:v>
                </c:pt>
              </c:numCache>
            </c:numRef>
          </c:xVal>
          <c:yVal>
            <c:numRef>
              <c:f>'o4-mini'!$V$3:$V$7</c:f>
              <c:numCache>
                <c:formatCode>0.00</c:formatCode>
                <c:ptCount val="5"/>
                <c:pt idx="0">
                  <c:v>20.236999999999998</c:v>
                </c:pt>
                <c:pt idx="1">
                  <c:v>18.156333333333333</c:v>
                </c:pt>
                <c:pt idx="2">
                  <c:v>21.609666666666669</c:v>
                </c:pt>
                <c:pt idx="3">
                  <c:v>29.847333333333335</c:v>
                </c:pt>
                <c:pt idx="4">
                  <c:v>41.159666666666674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0F-4D14-BC88-FD82A23D0C16}"/>
            </c:ext>
          </c:extLst>
        </c:ser>
        <c:ser>
          <c:idx val="2"/>
          <c:order val="2"/>
          <c:tx>
            <c:strRef>
              <c:f>'o4-mini'!$W$1</c:f>
              <c:strCache>
                <c:ptCount val="1"/>
                <c:pt idx="0">
                  <c:v>automata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'o4-mini'!$W$3:$W$7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xVal>
          <c:yVal>
            <c:numRef>
              <c:f>'o4-mini'!$X$3:$X$7</c:f>
              <c:numCache>
                <c:formatCode>0.00</c:formatCode>
                <c:ptCount val="5"/>
                <c:pt idx="0">
                  <c:v>20.944499999999998</c:v>
                </c:pt>
                <c:pt idx="1">
                  <c:v>18.381499999999999</c:v>
                </c:pt>
                <c:pt idx="2">
                  <c:v>21.009</c:v>
                </c:pt>
                <c:pt idx="3">
                  <c:v>27.863500000000002</c:v>
                </c:pt>
                <c:pt idx="4">
                  <c:v>69.332999999999998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0F-4D14-BC88-FD82A23D0C16}"/>
            </c:ext>
          </c:extLst>
        </c:ser>
        <c:ser>
          <c:idx val="3"/>
          <c:order val="3"/>
          <c:tx>
            <c:strRef>
              <c:f>'o4-mini'!$Y$1</c:f>
              <c:strCache>
                <c:ptCount val="1"/>
                <c:pt idx="0">
                  <c:v>words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'o4-mini'!$Y$3:$Y$7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xVal>
          <c:yVal>
            <c:numRef>
              <c:f>'o4-mini'!$Z$3:$Z$7</c:f>
              <c:numCache>
                <c:formatCode>0.00</c:formatCode>
                <c:ptCount val="5"/>
                <c:pt idx="0">
                  <c:v>11.448499999999999</c:v>
                </c:pt>
                <c:pt idx="1">
                  <c:v>11.061500000000001</c:v>
                </c:pt>
                <c:pt idx="2">
                  <c:v>12.815</c:v>
                </c:pt>
                <c:pt idx="3">
                  <c:v>20.045500000000001</c:v>
                </c:pt>
                <c:pt idx="4">
                  <c:v>24.628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0F-4D14-BC88-FD82A23D0C1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2000864"/>
        <c:axId val="1781988384"/>
      </c:scatterChart>
      <c:valAx>
        <c:axId val="178200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repairs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1988384"/>
        <c:crosses val="autoZero"/>
        <c:crossBetween val="midCat"/>
      </c:valAx>
      <c:valAx>
        <c:axId val="178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200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size vs repairs for gpt-5-nano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'gpt-4o-mini'!$S$1</c:f>
              <c:strCache>
                <c:ptCount val="1"/>
                <c:pt idx="0">
                  <c:v>data centers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'gpt-4o-mini'!$R$3:$R$7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'gpt-4o-mini'!$S$3:$S$7</c:f>
              <c:numCache>
                <c:formatCode>General</c:formatCode>
                <c:ptCount val="5"/>
                <c:pt idx="0">
                  <c:v>188</c:v>
                </c:pt>
                <c:pt idx="1">
                  <c:v>201</c:v>
                </c:pt>
                <c:pt idx="2">
                  <c:v>201</c:v>
                </c:pt>
                <c:pt idx="3">
                  <c:v>227</c:v>
                </c:pt>
                <c:pt idx="4">
                  <c:v>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7E-470D-853E-5952BE8BAD46}"/>
            </c:ext>
          </c:extLst>
        </c:ser>
        <c:ser>
          <c:idx val="1"/>
          <c:order val="1"/>
          <c:tx>
            <c:strRef>
              <c:f>'gpt-4o-mini'!$U$1</c:f>
              <c:strCache>
                <c:ptCount val="1"/>
                <c:pt idx="0">
                  <c:v>autonomous vehicles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'gpt-4o-mini'!$R$3:$R$7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'gpt-4o-mini'!$U$3:$U$7</c:f>
              <c:numCache>
                <c:formatCode>General</c:formatCode>
                <c:ptCount val="5"/>
                <c:pt idx="0">
                  <c:v>57</c:v>
                </c:pt>
                <c:pt idx="1">
                  <c:v>61</c:v>
                </c:pt>
                <c:pt idx="2">
                  <c:v>53</c:v>
                </c:pt>
                <c:pt idx="3">
                  <c:v>60</c:v>
                </c:pt>
                <c:pt idx="4">
                  <c:v>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7E-470D-853E-5952BE8BAD46}"/>
            </c:ext>
          </c:extLst>
        </c:ser>
        <c:ser>
          <c:idx val="2"/>
          <c:order val="2"/>
          <c:tx>
            <c:strRef>
              <c:f>'gpt-4o-mini'!$W$1</c:f>
              <c:strCache>
                <c:ptCount val="1"/>
                <c:pt idx="0">
                  <c:v>automata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'gpt-4o-mini'!$R$3:$R$7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'gpt-4o-mini'!$W$3:$W$7</c:f>
              <c:numCache>
                <c:formatCode>General</c:formatCode>
                <c:ptCount val="5"/>
                <c:pt idx="0">
                  <c:v>22</c:v>
                </c:pt>
                <c:pt idx="1">
                  <c:v>21</c:v>
                </c:pt>
                <c:pt idx="2">
                  <c:v>27</c:v>
                </c:pt>
                <c:pt idx="3">
                  <c:v>21</c:v>
                </c:pt>
                <c:pt idx="4">
                  <c:v>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7E-470D-853E-5952BE8BAD46}"/>
            </c:ext>
          </c:extLst>
        </c:ser>
        <c:ser>
          <c:idx val="3"/>
          <c:order val="3"/>
          <c:tx>
            <c:strRef>
              <c:f>'gpt-4o-mini'!$Y$1</c:f>
              <c:strCache>
                <c:ptCount val="1"/>
                <c:pt idx="0">
                  <c:v>words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'gpt-4o-mini'!$R$3:$R$7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'gpt-4o-mini'!$Y$3:$Y$7</c:f>
              <c:numCache>
                <c:formatCode>General</c:formatCode>
                <c:ptCount val="5"/>
                <c:pt idx="0">
                  <c:v>10</c:v>
                </c:pt>
                <c:pt idx="1">
                  <c:v>28</c:v>
                </c:pt>
                <c:pt idx="2">
                  <c:v>15</c:v>
                </c:pt>
                <c:pt idx="3">
                  <c:v>21</c:v>
                </c:pt>
                <c:pt idx="4">
                  <c:v>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7E-470D-853E-5952BE8BAD4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2000864"/>
        <c:axId val="1781988384"/>
      </c:scatterChart>
      <c:valAx>
        <c:axId val="1782000864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1988384"/>
        <c:crosses val="autoZero"/>
        <c:crossBetween val="midCat"/>
      </c:valAx>
      <c:valAx>
        <c:axId val="178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#repairs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200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size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'gpt-4o-mini'!$S$1</c:f>
              <c:strCache>
                <c:ptCount val="1"/>
                <c:pt idx="0">
                  <c:v>data centers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'gpt-4o-mini'!$R$3:$R$7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'gpt-4o-mini'!$T$3:$T$7</c:f>
              <c:numCache>
                <c:formatCode>0.00</c:formatCode>
                <c:ptCount val="5"/>
                <c:pt idx="0">
                  <c:v>12.6266</c:v>
                </c:pt>
                <c:pt idx="1">
                  <c:v>28.727800000000002</c:v>
                </c:pt>
                <c:pt idx="2">
                  <c:v>44.3902</c:v>
                </c:pt>
                <c:pt idx="3">
                  <c:v>88.18719999999999</c:v>
                </c:pt>
                <c:pt idx="4">
                  <c:v>208.62439999999998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50-4754-B419-D51153BBA47A}"/>
            </c:ext>
          </c:extLst>
        </c:ser>
        <c:ser>
          <c:idx val="1"/>
          <c:order val="1"/>
          <c:tx>
            <c:strRef>
              <c:f>'gpt-4o-mini'!$U$1</c:f>
              <c:strCache>
                <c:ptCount val="1"/>
                <c:pt idx="0">
                  <c:v>autonomous vehicles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'gpt-4o-mini'!$R$3:$R$7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'gpt-4o-mini'!$V$3:$V$7</c:f>
              <c:numCache>
                <c:formatCode>0.00</c:formatCode>
                <c:ptCount val="5"/>
                <c:pt idx="0">
                  <c:v>10.080999999999998</c:v>
                </c:pt>
                <c:pt idx="1">
                  <c:v>11.328666666666669</c:v>
                </c:pt>
                <c:pt idx="2">
                  <c:v>13.688666666666668</c:v>
                </c:pt>
                <c:pt idx="3">
                  <c:v>36.797333333333334</c:v>
                </c:pt>
                <c:pt idx="4">
                  <c:v>59.111666666666672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50-4754-B419-D51153BBA47A}"/>
            </c:ext>
          </c:extLst>
        </c:ser>
        <c:ser>
          <c:idx val="2"/>
          <c:order val="2"/>
          <c:tx>
            <c:strRef>
              <c:f>'gpt-4o-mini'!$W$1</c:f>
              <c:strCache>
                <c:ptCount val="1"/>
                <c:pt idx="0">
                  <c:v>automata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'gpt-4o-mini'!$R$3:$R$7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'gpt-4o-mini'!$X$3:$X$7</c:f>
              <c:numCache>
                <c:formatCode>0.00</c:formatCode>
                <c:ptCount val="5"/>
                <c:pt idx="0">
                  <c:v>25.102499999999999</c:v>
                </c:pt>
                <c:pt idx="1">
                  <c:v>28.16</c:v>
                </c:pt>
                <c:pt idx="2">
                  <c:v>60.691500000000005</c:v>
                </c:pt>
                <c:pt idx="3">
                  <c:v>77.701999999999998</c:v>
                </c:pt>
                <c:pt idx="4">
                  <c:v>237.0025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50-4754-B419-D51153BBA47A}"/>
            </c:ext>
          </c:extLst>
        </c:ser>
        <c:ser>
          <c:idx val="3"/>
          <c:order val="3"/>
          <c:tx>
            <c:strRef>
              <c:f>'gpt-4o-mini'!$Y$1</c:f>
              <c:strCache>
                <c:ptCount val="1"/>
                <c:pt idx="0">
                  <c:v>words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'gpt-4o-mini'!$R$3:$R$7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'gpt-4o-mini'!$Z$3:$Z$7</c:f>
              <c:numCache>
                <c:formatCode>0.00</c:formatCode>
                <c:ptCount val="5"/>
                <c:pt idx="0">
                  <c:v>4.3209999999999997</c:v>
                </c:pt>
                <c:pt idx="1">
                  <c:v>10.3855</c:v>
                </c:pt>
                <c:pt idx="2">
                  <c:v>8.838000000000001</c:v>
                </c:pt>
                <c:pt idx="3">
                  <c:v>22.189499999999999</c:v>
                </c:pt>
                <c:pt idx="4">
                  <c:v>40.1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50-4754-B419-D51153BBA47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2000864"/>
        <c:axId val="1781988384"/>
      </c:scatterChart>
      <c:valAx>
        <c:axId val="1782000864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1988384"/>
        <c:crosses val="autoZero"/>
        <c:crossBetween val="midCat"/>
      </c:valAx>
      <c:valAx>
        <c:axId val="178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200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repairs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'gpt-4o-mini'!$S$1</c:f>
              <c:strCache>
                <c:ptCount val="1"/>
                <c:pt idx="0">
                  <c:v>data centers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'gpt-4o-mini'!$S$3:$S$7</c:f>
              <c:numCache>
                <c:formatCode>General</c:formatCode>
                <c:ptCount val="5"/>
                <c:pt idx="0">
                  <c:v>188</c:v>
                </c:pt>
                <c:pt idx="1">
                  <c:v>201</c:v>
                </c:pt>
                <c:pt idx="2">
                  <c:v>201</c:v>
                </c:pt>
                <c:pt idx="3">
                  <c:v>227</c:v>
                </c:pt>
                <c:pt idx="4">
                  <c:v>236</c:v>
                </c:pt>
              </c:numCache>
            </c:numRef>
          </c:xVal>
          <c:yVal>
            <c:numRef>
              <c:f>'gpt-4o-mini'!$T$3:$T$7</c:f>
              <c:numCache>
                <c:formatCode>0.00</c:formatCode>
                <c:ptCount val="5"/>
                <c:pt idx="0">
                  <c:v>12.6266</c:v>
                </c:pt>
                <c:pt idx="1">
                  <c:v>28.727800000000002</c:v>
                </c:pt>
                <c:pt idx="2">
                  <c:v>44.3902</c:v>
                </c:pt>
                <c:pt idx="3">
                  <c:v>88.18719999999999</c:v>
                </c:pt>
                <c:pt idx="4">
                  <c:v>208.62439999999998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3D-49C2-8E1D-EC1610712834}"/>
            </c:ext>
          </c:extLst>
        </c:ser>
        <c:ser>
          <c:idx val="1"/>
          <c:order val="1"/>
          <c:tx>
            <c:strRef>
              <c:f>'gpt-4o-mini'!$U$1</c:f>
              <c:strCache>
                <c:ptCount val="1"/>
                <c:pt idx="0">
                  <c:v>autonomous vehicles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'gpt-4o-mini'!$U$3:$U$7</c:f>
              <c:numCache>
                <c:formatCode>General</c:formatCode>
                <c:ptCount val="5"/>
                <c:pt idx="0">
                  <c:v>57</c:v>
                </c:pt>
                <c:pt idx="1">
                  <c:v>61</c:v>
                </c:pt>
                <c:pt idx="2">
                  <c:v>53</c:v>
                </c:pt>
                <c:pt idx="3">
                  <c:v>60</c:v>
                </c:pt>
                <c:pt idx="4">
                  <c:v>58</c:v>
                </c:pt>
              </c:numCache>
            </c:numRef>
          </c:xVal>
          <c:yVal>
            <c:numRef>
              <c:f>'gpt-4o-mini'!$V$3:$V$7</c:f>
              <c:numCache>
                <c:formatCode>0.00</c:formatCode>
                <c:ptCount val="5"/>
                <c:pt idx="0">
                  <c:v>10.080999999999998</c:v>
                </c:pt>
                <c:pt idx="1">
                  <c:v>11.328666666666669</c:v>
                </c:pt>
                <c:pt idx="2">
                  <c:v>13.688666666666668</c:v>
                </c:pt>
                <c:pt idx="3">
                  <c:v>36.797333333333334</c:v>
                </c:pt>
                <c:pt idx="4">
                  <c:v>59.111666666666672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3D-49C2-8E1D-EC1610712834}"/>
            </c:ext>
          </c:extLst>
        </c:ser>
        <c:ser>
          <c:idx val="2"/>
          <c:order val="2"/>
          <c:tx>
            <c:strRef>
              <c:f>'gpt-4o-mini'!$W$1</c:f>
              <c:strCache>
                <c:ptCount val="1"/>
                <c:pt idx="0">
                  <c:v>automata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'gpt-4o-mini'!$W$3:$W$7</c:f>
              <c:numCache>
                <c:formatCode>General</c:formatCode>
                <c:ptCount val="5"/>
                <c:pt idx="0">
                  <c:v>22</c:v>
                </c:pt>
                <c:pt idx="1">
                  <c:v>21</c:v>
                </c:pt>
                <c:pt idx="2">
                  <c:v>27</c:v>
                </c:pt>
                <c:pt idx="3">
                  <c:v>21</c:v>
                </c:pt>
                <c:pt idx="4">
                  <c:v>36</c:v>
                </c:pt>
              </c:numCache>
            </c:numRef>
          </c:xVal>
          <c:yVal>
            <c:numRef>
              <c:f>'gpt-4o-mini'!$X$3:$X$7</c:f>
              <c:numCache>
                <c:formatCode>0.00</c:formatCode>
                <c:ptCount val="5"/>
                <c:pt idx="0">
                  <c:v>25.102499999999999</c:v>
                </c:pt>
                <c:pt idx="1">
                  <c:v>28.16</c:v>
                </c:pt>
                <c:pt idx="2">
                  <c:v>60.691500000000005</c:v>
                </c:pt>
                <c:pt idx="3">
                  <c:v>77.701999999999998</c:v>
                </c:pt>
                <c:pt idx="4">
                  <c:v>237.0025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3D-49C2-8E1D-EC1610712834}"/>
            </c:ext>
          </c:extLst>
        </c:ser>
        <c:ser>
          <c:idx val="3"/>
          <c:order val="3"/>
          <c:tx>
            <c:strRef>
              <c:f>'gpt-4o-mini'!$Y$1</c:f>
              <c:strCache>
                <c:ptCount val="1"/>
                <c:pt idx="0">
                  <c:v>words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'gpt-4o-mini'!$Y$3:$Y$7</c:f>
              <c:numCache>
                <c:formatCode>General</c:formatCode>
                <c:ptCount val="5"/>
                <c:pt idx="0">
                  <c:v>10</c:v>
                </c:pt>
                <c:pt idx="1">
                  <c:v>28</c:v>
                </c:pt>
                <c:pt idx="2">
                  <c:v>15</c:v>
                </c:pt>
                <c:pt idx="3">
                  <c:v>21</c:v>
                </c:pt>
                <c:pt idx="4">
                  <c:v>28</c:v>
                </c:pt>
              </c:numCache>
            </c:numRef>
          </c:xVal>
          <c:yVal>
            <c:numRef>
              <c:f>'gpt-4o-mini'!$Z$3:$Z$7</c:f>
              <c:numCache>
                <c:formatCode>0.00</c:formatCode>
                <c:ptCount val="5"/>
                <c:pt idx="0">
                  <c:v>4.3209999999999997</c:v>
                </c:pt>
                <c:pt idx="1">
                  <c:v>10.3855</c:v>
                </c:pt>
                <c:pt idx="2">
                  <c:v>8.838000000000001</c:v>
                </c:pt>
                <c:pt idx="3">
                  <c:v>22.189499999999999</c:v>
                </c:pt>
                <c:pt idx="4">
                  <c:v>40.1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3D-49C2-8E1D-EC161071283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2000864"/>
        <c:axId val="1781988384"/>
      </c:scatterChart>
      <c:valAx>
        <c:axId val="178200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repairs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1988384"/>
        <c:crosses val="autoZero"/>
        <c:crossBetween val="midCat"/>
      </c:valAx>
      <c:valAx>
        <c:axId val="178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200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size vs repairs for gpt-5-nano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'gpt-4.1-mini'!$S$1</c:f>
              <c:strCache>
                <c:ptCount val="1"/>
                <c:pt idx="0">
                  <c:v>data centers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'gpt-4.1-mini'!$R$3:$R$7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'gpt-4.1-mini'!$S$3:$S$7</c:f>
              <c:numCache>
                <c:formatCode>General</c:formatCode>
                <c:ptCount val="5"/>
                <c:pt idx="0">
                  <c:v>23</c:v>
                </c:pt>
                <c:pt idx="1">
                  <c:v>19</c:v>
                </c:pt>
                <c:pt idx="2">
                  <c:v>30</c:v>
                </c:pt>
                <c:pt idx="3">
                  <c:v>37</c:v>
                </c:pt>
                <c:pt idx="4">
                  <c:v>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6B-4ACE-9C06-F3CD635741FA}"/>
            </c:ext>
          </c:extLst>
        </c:ser>
        <c:ser>
          <c:idx val="1"/>
          <c:order val="1"/>
          <c:tx>
            <c:strRef>
              <c:f>'gpt-4.1-mini'!$U$1</c:f>
              <c:strCache>
                <c:ptCount val="1"/>
                <c:pt idx="0">
                  <c:v>autonomous vehicles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'gpt-4.1-mini'!$R$3:$R$7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'gpt-4.1-mini'!$U$3:$U$7</c:f>
              <c:numCache>
                <c:formatCode>General</c:formatCode>
                <c:ptCount val="5"/>
                <c:pt idx="0">
                  <c:v>29</c:v>
                </c:pt>
                <c:pt idx="1">
                  <c:v>42</c:v>
                </c:pt>
                <c:pt idx="2">
                  <c:v>20</c:v>
                </c:pt>
                <c:pt idx="3">
                  <c:v>12</c:v>
                </c:pt>
                <c:pt idx="4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6B-4ACE-9C06-F3CD635741FA}"/>
            </c:ext>
          </c:extLst>
        </c:ser>
        <c:ser>
          <c:idx val="2"/>
          <c:order val="2"/>
          <c:tx>
            <c:strRef>
              <c:f>'gpt-4.1-mini'!$W$1</c:f>
              <c:strCache>
                <c:ptCount val="1"/>
                <c:pt idx="0">
                  <c:v>automata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'gpt-4.1-mini'!$R$3:$R$7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'gpt-4.1-mini'!$W$3:$W$7</c:f>
              <c:numCache>
                <c:formatCode>General</c:formatCode>
                <c:ptCount val="5"/>
                <c:pt idx="0">
                  <c:v>9</c:v>
                </c:pt>
                <c:pt idx="1">
                  <c:v>6</c:v>
                </c:pt>
                <c:pt idx="2">
                  <c:v>6</c:v>
                </c:pt>
                <c:pt idx="3">
                  <c:v>15</c:v>
                </c:pt>
                <c:pt idx="4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6B-4ACE-9C06-F3CD635741FA}"/>
            </c:ext>
          </c:extLst>
        </c:ser>
        <c:ser>
          <c:idx val="3"/>
          <c:order val="3"/>
          <c:tx>
            <c:strRef>
              <c:f>'gpt-4.1-mini'!$Y$1</c:f>
              <c:strCache>
                <c:ptCount val="1"/>
                <c:pt idx="0">
                  <c:v>words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'gpt-4.1-mini'!$R$3:$R$7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'gpt-4.1-mini'!$Y$3:$Y$7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6</c:v>
                </c:pt>
                <c:pt idx="3">
                  <c:v>5</c:v>
                </c:pt>
                <c:pt idx="4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6B-4ACE-9C06-F3CD635741F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2000864"/>
        <c:axId val="1781988384"/>
      </c:scatterChart>
      <c:valAx>
        <c:axId val="1782000864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1988384"/>
        <c:crosses val="autoZero"/>
        <c:crossBetween val="midCat"/>
      </c:valAx>
      <c:valAx>
        <c:axId val="178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#repairs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200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size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'gpt-4.1-mini'!$S$1</c:f>
              <c:strCache>
                <c:ptCount val="1"/>
                <c:pt idx="0">
                  <c:v>data centers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'gpt-4.1-mini'!$R$3:$R$7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'gpt-4.1-mini'!$T$3:$T$7</c:f>
              <c:numCache>
                <c:formatCode>0.00</c:formatCode>
                <c:ptCount val="5"/>
                <c:pt idx="0">
                  <c:v>2.7808000000000002</c:v>
                </c:pt>
                <c:pt idx="1">
                  <c:v>6.8275999999999994</c:v>
                </c:pt>
                <c:pt idx="2">
                  <c:v>11.812200000000001</c:v>
                </c:pt>
                <c:pt idx="3">
                  <c:v>26.771800000000002</c:v>
                </c:pt>
                <c:pt idx="4">
                  <c:v>57.111599999999996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7-48E2-9125-D915F93E03B0}"/>
            </c:ext>
          </c:extLst>
        </c:ser>
        <c:ser>
          <c:idx val="1"/>
          <c:order val="1"/>
          <c:tx>
            <c:strRef>
              <c:f>'gpt-4.1-mini'!$U$1</c:f>
              <c:strCache>
                <c:ptCount val="1"/>
                <c:pt idx="0">
                  <c:v>autonomous vehicles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'gpt-4.1-mini'!$R$3:$R$7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'gpt-4.1-mini'!$V$3:$V$7</c:f>
              <c:numCache>
                <c:formatCode>0.00</c:formatCode>
                <c:ptCount val="5"/>
                <c:pt idx="0">
                  <c:v>7.1176666666666675</c:v>
                </c:pt>
                <c:pt idx="1">
                  <c:v>10.239333333333333</c:v>
                </c:pt>
                <c:pt idx="2">
                  <c:v>7.7290000000000001</c:v>
                </c:pt>
                <c:pt idx="3">
                  <c:v>16.077000000000002</c:v>
                </c:pt>
                <c:pt idx="4">
                  <c:v>33.736666666666665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7-48E2-9125-D915F93E03B0}"/>
            </c:ext>
          </c:extLst>
        </c:ser>
        <c:ser>
          <c:idx val="2"/>
          <c:order val="2"/>
          <c:tx>
            <c:strRef>
              <c:f>'gpt-4.1-mini'!$W$1</c:f>
              <c:strCache>
                <c:ptCount val="1"/>
                <c:pt idx="0">
                  <c:v>automata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'gpt-4.1-mini'!$R$3:$R$7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'gpt-4.1-mini'!$X$3:$X$7</c:f>
              <c:numCache>
                <c:formatCode>0.00</c:formatCode>
                <c:ptCount val="5"/>
                <c:pt idx="0">
                  <c:v>8.472999999999999</c:v>
                </c:pt>
                <c:pt idx="1">
                  <c:v>8.6060000000000016</c:v>
                </c:pt>
                <c:pt idx="2">
                  <c:v>12.189</c:v>
                </c:pt>
                <c:pt idx="3">
                  <c:v>42.326999999999998</c:v>
                </c:pt>
                <c:pt idx="4">
                  <c:v>115.86449999999999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F7-48E2-9125-D915F93E03B0}"/>
            </c:ext>
          </c:extLst>
        </c:ser>
        <c:ser>
          <c:idx val="3"/>
          <c:order val="3"/>
          <c:tx>
            <c:strRef>
              <c:f>'gpt-4.1-mini'!$Y$1</c:f>
              <c:strCache>
                <c:ptCount val="1"/>
                <c:pt idx="0">
                  <c:v>words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'gpt-4.1-mini'!$R$3:$R$7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'gpt-4.1-mini'!$Z$3:$Z$7</c:f>
              <c:numCache>
                <c:formatCode>0.00</c:formatCode>
                <c:ptCount val="5"/>
                <c:pt idx="0">
                  <c:v>2.0529999999999999</c:v>
                </c:pt>
                <c:pt idx="1">
                  <c:v>2.246</c:v>
                </c:pt>
                <c:pt idx="2">
                  <c:v>3.0569999999999999</c:v>
                </c:pt>
                <c:pt idx="3">
                  <c:v>7.3454999999999995</c:v>
                </c:pt>
                <c:pt idx="4">
                  <c:v>16.868500000000001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6F7-48E2-9125-D915F93E03B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2000864"/>
        <c:axId val="1781988384"/>
      </c:scatterChart>
      <c:valAx>
        <c:axId val="1782000864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1988384"/>
        <c:crosses val="autoZero"/>
        <c:crossBetween val="midCat"/>
      </c:valAx>
      <c:valAx>
        <c:axId val="178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200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repairs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'gpt-4.1-mini'!$S$1</c:f>
              <c:strCache>
                <c:ptCount val="1"/>
                <c:pt idx="0">
                  <c:v>data centers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'gpt-4.1-mini'!$S$3:$S$7</c:f>
              <c:numCache>
                <c:formatCode>General</c:formatCode>
                <c:ptCount val="5"/>
                <c:pt idx="0">
                  <c:v>23</c:v>
                </c:pt>
                <c:pt idx="1">
                  <c:v>19</c:v>
                </c:pt>
                <c:pt idx="2">
                  <c:v>30</c:v>
                </c:pt>
                <c:pt idx="3">
                  <c:v>37</c:v>
                </c:pt>
                <c:pt idx="4">
                  <c:v>61</c:v>
                </c:pt>
              </c:numCache>
            </c:numRef>
          </c:xVal>
          <c:yVal>
            <c:numRef>
              <c:f>'gpt-4.1-mini'!$T$3:$T$7</c:f>
              <c:numCache>
                <c:formatCode>0.00</c:formatCode>
                <c:ptCount val="5"/>
                <c:pt idx="0">
                  <c:v>2.7808000000000002</c:v>
                </c:pt>
                <c:pt idx="1">
                  <c:v>6.8275999999999994</c:v>
                </c:pt>
                <c:pt idx="2">
                  <c:v>11.812200000000001</c:v>
                </c:pt>
                <c:pt idx="3">
                  <c:v>26.771800000000002</c:v>
                </c:pt>
                <c:pt idx="4">
                  <c:v>57.111599999999996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80-4E42-A2FA-35918A19D9BC}"/>
            </c:ext>
          </c:extLst>
        </c:ser>
        <c:ser>
          <c:idx val="1"/>
          <c:order val="1"/>
          <c:tx>
            <c:strRef>
              <c:f>'gpt-4.1-mini'!$U$1</c:f>
              <c:strCache>
                <c:ptCount val="1"/>
                <c:pt idx="0">
                  <c:v>autonomous vehicles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'gpt-4.1-mini'!$U$3:$U$7</c:f>
              <c:numCache>
                <c:formatCode>General</c:formatCode>
                <c:ptCount val="5"/>
                <c:pt idx="0">
                  <c:v>29</c:v>
                </c:pt>
                <c:pt idx="1">
                  <c:v>42</c:v>
                </c:pt>
                <c:pt idx="2">
                  <c:v>20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'gpt-4.1-mini'!$V$3:$V$7</c:f>
              <c:numCache>
                <c:formatCode>0.00</c:formatCode>
                <c:ptCount val="5"/>
                <c:pt idx="0">
                  <c:v>7.1176666666666675</c:v>
                </c:pt>
                <c:pt idx="1">
                  <c:v>10.239333333333333</c:v>
                </c:pt>
                <c:pt idx="2">
                  <c:v>7.7290000000000001</c:v>
                </c:pt>
                <c:pt idx="3">
                  <c:v>16.077000000000002</c:v>
                </c:pt>
                <c:pt idx="4">
                  <c:v>33.736666666666665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80-4E42-A2FA-35918A19D9BC}"/>
            </c:ext>
          </c:extLst>
        </c:ser>
        <c:ser>
          <c:idx val="2"/>
          <c:order val="2"/>
          <c:tx>
            <c:strRef>
              <c:f>'gpt-4.1-mini'!$W$1</c:f>
              <c:strCache>
                <c:ptCount val="1"/>
                <c:pt idx="0">
                  <c:v>automata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'gpt-4.1-mini'!$W$3:$W$7</c:f>
              <c:numCache>
                <c:formatCode>General</c:formatCode>
                <c:ptCount val="5"/>
                <c:pt idx="0">
                  <c:v>9</c:v>
                </c:pt>
                <c:pt idx="1">
                  <c:v>6</c:v>
                </c:pt>
                <c:pt idx="2">
                  <c:v>6</c:v>
                </c:pt>
                <c:pt idx="3">
                  <c:v>15</c:v>
                </c:pt>
                <c:pt idx="4">
                  <c:v>13</c:v>
                </c:pt>
              </c:numCache>
            </c:numRef>
          </c:xVal>
          <c:yVal>
            <c:numRef>
              <c:f>'gpt-4.1-mini'!$X$3:$X$7</c:f>
              <c:numCache>
                <c:formatCode>0.00</c:formatCode>
                <c:ptCount val="5"/>
                <c:pt idx="0">
                  <c:v>8.472999999999999</c:v>
                </c:pt>
                <c:pt idx="1">
                  <c:v>8.6060000000000016</c:v>
                </c:pt>
                <c:pt idx="2">
                  <c:v>12.189</c:v>
                </c:pt>
                <c:pt idx="3">
                  <c:v>42.326999999999998</c:v>
                </c:pt>
                <c:pt idx="4">
                  <c:v>115.86449999999999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80-4E42-A2FA-35918A19D9BC}"/>
            </c:ext>
          </c:extLst>
        </c:ser>
        <c:ser>
          <c:idx val="3"/>
          <c:order val="3"/>
          <c:tx>
            <c:strRef>
              <c:f>'gpt-4.1-mini'!$Y$1</c:f>
              <c:strCache>
                <c:ptCount val="1"/>
                <c:pt idx="0">
                  <c:v>words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'gpt-4.1-mini'!$Y$3:$Y$7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6</c:v>
                </c:pt>
                <c:pt idx="3">
                  <c:v>5</c:v>
                </c:pt>
                <c:pt idx="4">
                  <c:v>15</c:v>
                </c:pt>
              </c:numCache>
            </c:numRef>
          </c:xVal>
          <c:yVal>
            <c:numRef>
              <c:f>'gpt-4.1-mini'!$Z$3:$Z$7</c:f>
              <c:numCache>
                <c:formatCode>0.00</c:formatCode>
                <c:ptCount val="5"/>
                <c:pt idx="0">
                  <c:v>2.0529999999999999</c:v>
                </c:pt>
                <c:pt idx="1">
                  <c:v>2.246</c:v>
                </c:pt>
                <c:pt idx="2">
                  <c:v>3.0569999999999999</c:v>
                </c:pt>
                <c:pt idx="3">
                  <c:v>7.3454999999999995</c:v>
                </c:pt>
                <c:pt idx="4">
                  <c:v>16.868500000000001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80-4E42-A2FA-35918A19D9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2000864"/>
        <c:axId val="1781988384"/>
      </c:scatterChart>
      <c:valAx>
        <c:axId val="178200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repairs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1988384"/>
        <c:crosses val="autoZero"/>
        <c:crossBetween val="midCat"/>
      </c:valAx>
      <c:valAx>
        <c:axId val="178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200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size vs repairs for gpt-5-nano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'gpt-5-mini'!$S$1</c:f>
              <c:strCache>
                <c:ptCount val="1"/>
                <c:pt idx="0">
                  <c:v>data centers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'gpt-5-mini'!$R$3:$R$7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'gpt-5-mini'!$S$3:$S$7</c:f>
              <c:numCache>
                <c:formatCode>General</c:formatCode>
                <c:ptCount val="5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AB-42C2-919E-17CE051D68DA}"/>
            </c:ext>
          </c:extLst>
        </c:ser>
        <c:ser>
          <c:idx val="1"/>
          <c:order val="1"/>
          <c:tx>
            <c:strRef>
              <c:f>'gpt-5-mini'!$U$1</c:f>
              <c:strCache>
                <c:ptCount val="1"/>
                <c:pt idx="0">
                  <c:v>autonomous vehicles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'gpt-5-mini'!$R$3:$R$7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'gpt-5-mini'!$U$3:$U$7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AB-42C2-919E-17CE051D68DA}"/>
            </c:ext>
          </c:extLst>
        </c:ser>
        <c:ser>
          <c:idx val="2"/>
          <c:order val="2"/>
          <c:tx>
            <c:strRef>
              <c:f>'gpt-5-mini'!$W$1</c:f>
              <c:strCache>
                <c:ptCount val="1"/>
                <c:pt idx="0">
                  <c:v>automata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'gpt-5-mini'!$R$3:$R$7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'gpt-5-mini'!$W$3:$W$7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AB-42C2-919E-17CE051D68DA}"/>
            </c:ext>
          </c:extLst>
        </c:ser>
        <c:ser>
          <c:idx val="3"/>
          <c:order val="3"/>
          <c:tx>
            <c:strRef>
              <c:f>'gpt-5-mini'!$Y$1</c:f>
              <c:strCache>
                <c:ptCount val="1"/>
                <c:pt idx="0">
                  <c:v>words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'gpt-5-mini'!$R$3:$R$7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'gpt-5-mini'!$Y$3:$Y$7</c:f>
              <c:numCache>
                <c:formatCode>General</c:formatCode>
                <c:ptCount val="5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DAB-42C2-919E-17CE051D68D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2000864"/>
        <c:axId val="1781988384"/>
      </c:scatterChart>
      <c:valAx>
        <c:axId val="1782000864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1988384"/>
        <c:crosses val="autoZero"/>
        <c:crossBetween val="midCat"/>
      </c:valAx>
      <c:valAx>
        <c:axId val="178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#repairs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200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size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'gpt-5-mini'!$S$1</c:f>
              <c:strCache>
                <c:ptCount val="1"/>
                <c:pt idx="0">
                  <c:v>data centers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'gpt-5-mini'!$R$3:$R$7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'gpt-5-mini'!$T$3:$T$7</c:f>
              <c:numCache>
                <c:formatCode>0.00</c:formatCode>
                <c:ptCount val="5"/>
                <c:pt idx="0">
                  <c:v>14.234599999999997</c:v>
                </c:pt>
                <c:pt idx="1">
                  <c:v>24.289399999999997</c:v>
                </c:pt>
                <c:pt idx="2">
                  <c:v>32.965400000000002</c:v>
                </c:pt>
                <c:pt idx="3">
                  <c:v>44.898600000000002</c:v>
                </c:pt>
                <c:pt idx="4">
                  <c:v>73.557000000000002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9A-4313-8350-ED72B8850709}"/>
            </c:ext>
          </c:extLst>
        </c:ser>
        <c:ser>
          <c:idx val="1"/>
          <c:order val="1"/>
          <c:tx>
            <c:strRef>
              <c:f>'gpt-5-mini'!$U$1</c:f>
              <c:strCache>
                <c:ptCount val="1"/>
                <c:pt idx="0">
                  <c:v>autonomous vehicles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'gpt-5-mini'!$R$3:$R$7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'gpt-5-mini'!$V$3:$V$7</c:f>
              <c:numCache>
                <c:formatCode>0.00</c:formatCode>
                <c:ptCount val="5"/>
                <c:pt idx="0">
                  <c:v>20.726666666666667</c:v>
                </c:pt>
                <c:pt idx="1">
                  <c:v>18.475000000000001</c:v>
                </c:pt>
                <c:pt idx="2">
                  <c:v>21.445666666666668</c:v>
                </c:pt>
                <c:pt idx="3">
                  <c:v>31.757000000000001</c:v>
                </c:pt>
                <c:pt idx="4">
                  <c:v>48.351333333333336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9A-4313-8350-ED72B8850709}"/>
            </c:ext>
          </c:extLst>
        </c:ser>
        <c:ser>
          <c:idx val="2"/>
          <c:order val="2"/>
          <c:tx>
            <c:strRef>
              <c:f>'gpt-5-mini'!$W$1</c:f>
              <c:strCache>
                <c:ptCount val="1"/>
                <c:pt idx="0">
                  <c:v>automata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'gpt-5-mini'!$R$3:$R$7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'gpt-5-mini'!$X$3:$X$7</c:f>
              <c:numCache>
                <c:formatCode>0.00</c:formatCode>
                <c:ptCount val="5"/>
                <c:pt idx="0">
                  <c:v>20.797499999999999</c:v>
                </c:pt>
                <c:pt idx="1">
                  <c:v>24.878999999999998</c:v>
                </c:pt>
                <c:pt idx="2">
                  <c:v>29.049500000000002</c:v>
                </c:pt>
                <c:pt idx="3">
                  <c:v>40.46</c:v>
                </c:pt>
                <c:pt idx="4">
                  <c:v>68.578999999999994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9A-4313-8350-ED72B8850709}"/>
            </c:ext>
          </c:extLst>
        </c:ser>
        <c:ser>
          <c:idx val="3"/>
          <c:order val="3"/>
          <c:tx>
            <c:strRef>
              <c:f>'gpt-5-mini'!$Y$1</c:f>
              <c:strCache>
                <c:ptCount val="1"/>
                <c:pt idx="0">
                  <c:v>words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'gpt-5-mini'!$R$3:$R$7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'gpt-5-mini'!$Z$3:$Z$7</c:f>
              <c:numCache>
                <c:formatCode>0.00</c:formatCode>
                <c:ptCount val="5"/>
                <c:pt idx="0">
                  <c:v>15.43</c:v>
                </c:pt>
                <c:pt idx="1">
                  <c:v>12.811</c:v>
                </c:pt>
                <c:pt idx="2">
                  <c:v>14.488</c:v>
                </c:pt>
                <c:pt idx="3">
                  <c:v>16.573499999999999</c:v>
                </c:pt>
                <c:pt idx="4">
                  <c:v>25.704999999999998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9A-4313-8350-ED72B88507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2000864"/>
        <c:axId val="1781988384"/>
      </c:scatterChart>
      <c:valAx>
        <c:axId val="1782000864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1988384"/>
        <c:crosses val="autoZero"/>
        <c:crossBetween val="midCat"/>
      </c:valAx>
      <c:valAx>
        <c:axId val="178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200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repairs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'gpt-5-mini'!$S$1</c:f>
              <c:strCache>
                <c:ptCount val="1"/>
                <c:pt idx="0">
                  <c:v>data centers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'gpt-5-mini'!$S$3:$S$7</c:f>
              <c:numCache>
                <c:formatCode>General</c:formatCode>
                <c:ptCount val="5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</c:numCache>
            </c:numRef>
          </c:xVal>
          <c:yVal>
            <c:numRef>
              <c:f>'gpt-5-mini'!$T$3:$T$7</c:f>
              <c:numCache>
                <c:formatCode>0.00</c:formatCode>
                <c:ptCount val="5"/>
                <c:pt idx="0">
                  <c:v>14.234599999999997</c:v>
                </c:pt>
                <c:pt idx="1">
                  <c:v>24.289399999999997</c:v>
                </c:pt>
                <c:pt idx="2">
                  <c:v>32.965400000000002</c:v>
                </c:pt>
                <c:pt idx="3">
                  <c:v>44.898600000000002</c:v>
                </c:pt>
                <c:pt idx="4">
                  <c:v>73.557000000000002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9-4BFD-A7A3-5860F0B6A1F9}"/>
            </c:ext>
          </c:extLst>
        </c:ser>
        <c:ser>
          <c:idx val="1"/>
          <c:order val="1"/>
          <c:tx>
            <c:strRef>
              <c:f>'gpt-5-mini'!$U$1</c:f>
              <c:strCache>
                <c:ptCount val="1"/>
                <c:pt idx="0">
                  <c:v>autonomous vehicles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'gpt-5-mini'!$U$3:$U$7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'gpt-5-mini'!$V$3:$V$7</c:f>
              <c:numCache>
                <c:formatCode>0.00</c:formatCode>
                <c:ptCount val="5"/>
                <c:pt idx="0">
                  <c:v>20.726666666666667</c:v>
                </c:pt>
                <c:pt idx="1">
                  <c:v>18.475000000000001</c:v>
                </c:pt>
                <c:pt idx="2">
                  <c:v>21.445666666666668</c:v>
                </c:pt>
                <c:pt idx="3">
                  <c:v>31.757000000000001</c:v>
                </c:pt>
                <c:pt idx="4">
                  <c:v>48.351333333333336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59-4BFD-A7A3-5860F0B6A1F9}"/>
            </c:ext>
          </c:extLst>
        </c:ser>
        <c:ser>
          <c:idx val="2"/>
          <c:order val="2"/>
          <c:tx>
            <c:strRef>
              <c:f>'gpt-5-mini'!$W$1</c:f>
              <c:strCache>
                <c:ptCount val="1"/>
                <c:pt idx="0">
                  <c:v>automata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'gpt-5-mini'!$W$3:$W$7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xVal>
          <c:yVal>
            <c:numRef>
              <c:f>'gpt-5-mini'!$X$3:$X$7</c:f>
              <c:numCache>
                <c:formatCode>0.00</c:formatCode>
                <c:ptCount val="5"/>
                <c:pt idx="0">
                  <c:v>20.797499999999999</c:v>
                </c:pt>
                <c:pt idx="1">
                  <c:v>24.878999999999998</c:v>
                </c:pt>
                <c:pt idx="2">
                  <c:v>29.049500000000002</c:v>
                </c:pt>
                <c:pt idx="3">
                  <c:v>40.46</c:v>
                </c:pt>
                <c:pt idx="4">
                  <c:v>68.578999999999994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59-4BFD-A7A3-5860F0B6A1F9}"/>
            </c:ext>
          </c:extLst>
        </c:ser>
        <c:ser>
          <c:idx val="3"/>
          <c:order val="3"/>
          <c:tx>
            <c:strRef>
              <c:f>'gpt-5-mini'!$Y$1</c:f>
              <c:strCache>
                <c:ptCount val="1"/>
                <c:pt idx="0">
                  <c:v>words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'gpt-5-mini'!$Y$3:$Y$7</c:f>
              <c:numCache>
                <c:formatCode>General</c:formatCode>
                <c:ptCount val="5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</c:numCache>
            </c:numRef>
          </c:xVal>
          <c:yVal>
            <c:numRef>
              <c:f>'gpt-5-mini'!$Z$3:$Z$7</c:f>
              <c:numCache>
                <c:formatCode>0.00</c:formatCode>
                <c:ptCount val="5"/>
                <c:pt idx="0">
                  <c:v>15.43</c:v>
                </c:pt>
                <c:pt idx="1">
                  <c:v>12.811</c:v>
                </c:pt>
                <c:pt idx="2">
                  <c:v>14.488</c:v>
                </c:pt>
                <c:pt idx="3">
                  <c:v>16.573499999999999</c:v>
                </c:pt>
                <c:pt idx="4">
                  <c:v>25.704999999999998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59-4BFD-A7A3-5860F0B6A1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2000864"/>
        <c:axId val="1781988384"/>
      </c:scatterChart>
      <c:valAx>
        <c:axId val="178200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repairs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1988384"/>
        <c:crosses val="autoZero"/>
        <c:crossBetween val="midCat"/>
      </c:valAx>
      <c:valAx>
        <c:axId val="1781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200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Data centers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'gpt-5-nano'!$R$1</c:f>
              <c:strCache>
                <c:ptCount val="1"/>
                <c:pt idx="0">
                  <c:v>gpt-5-nano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'gpt-5-nano'!$R$3:$R$7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'gpt-5-nano'!$T$3:$T$7</c:f>
              <c:numCache>
                <c:formatCode>0.00</c:formatCode>
                <c:ptCount val="5"/>
                <c:pt idx="0">
                  <c:v>20.6342</c:v>
                </c:pt>
                <c:pt idx="1">
                  <c:v>27.446400000000001</c:v>
                </c:pt>
                <c:pt idx="2">
                  <c:v>43.213000000000001</c:v>
                </c:pt>
                <c:pt idx="3">
                  <c:v>44.689400000000006</c:v>
                </c:pt>
                <c:pt idx="4">
                  <c:v>157.15860000000004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021-42A1-B1E3-DEA5174FCF98}"/>
            </c:ext>
          </c:extLst>
        </c:ser>
        <c:ser>
          <c:idx val="1"/>
          <c:order val="1"/>
          <c:tx>
            <c:strRef>
              <c:f>'o4-mini'!$R$1</c:f>
              <c:strCache>
                <c:ptCount val="1"/>
                <c:pt idx="0">
                  <c:v>o4-mini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'o4-mini'!$R$3:$R$7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'o4-mini'!$T$3:$T$7</c:f>
              <c:numCache>
                <c:formatCode>0.00</c:formatCode>
                <c:ptCount val="5"/>
                <c:pt idx="0">
                  <c:v>12.1792</c:v>
                </c:pt>
                <c:pt idx="1">
                  <c:v>18.651800000000001</c:v>
                </c:pt>
                <c:pt idx="2">
                  <c:v>23.866999999999997</c:v>
                </c:pt>
                <c:pt idx="3">
                  <c:v>29.6538</c:v>
                </c:pt>
                <c:pt idx="4">
                  <c:v>42.4148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021-42A1-B1E3-DEA5174FCF98}"/>
            </c:ext>
          </c:extLst>
        </c:ser>
        <c:ser>
          <c:idx val="2"/>
          <c:order val="2"/>
          <c:tx>
            <c:strRef>
              <c:f>'gpt-4o-mini'!$R$1</c:f>
              <c:strCache>
                <c:ptCount val="1"/>
                <c:pt idx="0">
                  <c:v>gpt-4o-mini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'gpt-4o-mini'!$R$3:$R$7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'gpt-4o-mini'!$T$3:$T$7</c:f>
              <c:numCache>
                <c:formatCode>0.00</c:formatCode>
                <c:ptCount val="5"/>
                <c:pt idx="0">
                  <c:v>12.6266</c:v>
                </c:pt>
                <c:pt idx="1">
                  <c:v>28.727800000000002</c:v>
                </c:pt>
                <c:pt idx="2">
                  <c:v>44.3902</c:v>
                </c:pt>
                <c:pt idx="3">
                  <c:v>88.18719999999999</c:v>
                </c:pt>
                <c:pt idx="4">
                  <c:v>208.62439999999998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021-42A1-B1E3-DEA5174FCF98}"/>
            </c:ext>
          </c:extLst>
        </c:ser>
        <c:ser>
          <c:idx val="3"/>
          <c:order val="3"/>
          <c:tx>
            <c:strRef>
              <c:f>'gpt-4.1-mini'!$R$1</c:f>
              <c:strCache>
                <c:ptCount val="1"/>
                <c:pt idx="0">
                  <c:v>gpt-4.1-mini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'gpt-4.1-mini'!$R$3:$R$7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'gpt-4.1-mini'!$T$3:$T$7</c:f>
              <c:numCache>
                <c:formatCode>0.00</c:formatCode>
                <c:ptCount val="5"/>
                <c:pt idx="0">
                  <c:v>2.7808000000000002</c:v>
                </c:pt>
                <c:pt idx="1">
                  <c:v>6.8275999999999994</c:v>
                </c:pt>
                <c:pt idx="2">
                  <c:v>11.812200000000001</c:v>
                </c:pt>
                <c:pt idx="3">
                  <c:v>26.771800000000002</c:v>
                </c:pt>
                <c:pt idx="4">
                  <c:v>57.111599999999996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021-42A1-B1E3-DEA5174FCF98}"/>
            </c:ext>
          </c:extLst>
        </c:ser>
        <c:ser>
          <c:idx val="4"/>
          <c:order val="4"/>
          <c:tx>
            <c:strRef>
              <c:f>'gpt-5-mini'!$R$1</c:f>
              <c:strCache>
                <c:ptCount val="1"/>
                <c:pt idx="0">
                  <c:v>gpt-5-mini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'gpt-5-mini'!$R$3:$R$7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'gpt-5-mini'!$T$3:$T$7</c:f>
              <c:numCache>
                <c:formatCode>0.00</c:formatCode>
                <c:ptCount val="5"/>
                <c:pt idx="0">
                  <c:v>14.234599999999997</c:v>
                </c:pt>
                <c:pt idx="1">
                  <c:v>24.289399999999997</c:v>
                </c:pt>
                <c:pt idx="2">
                  <c:v>32.965400000000002</c:v>
                </c:pt>
                <c:pt idx="3">
                  <c:v>44.898600000000002</c:v>
                </c:pt>
                <c:pt idx="4">
                  <c:v>73.557000000000002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021-42A1-B1E3-DEA5174FC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11440"/>
        <c:axId val="188112400"/>
      </c:scatterChart>
      <c:valAx>
        <c:axId val="188111440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112400"/>
        <c:crosses val="autoZero"/>
        <c:crossBetween val="midCat"/>
      </c:valAx>
      <c:valAx>
        <c:axId val="18811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111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Autonomous Vehicles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'gpt-5-nano'!$R$1</c:f>
              <c:strCache>
                <c:ptCount val="1"/>
                <c:pt idx="0">
                  <c:v>gpt-5-nano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'gpt-5-nano'!$R$3:$R$7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'gpt-5-nano'!$V$3:$V$7</c:f>
              <c:numCache>
                <c:formatCode>0.00</c:formatCode>
                <c:ptCount val="5"/>
                <c:pt idx="0">
                  <c:v>28.052666666666667</c:v>
                </c:pt>
                <c:pt idx="1">
                  <c:v>34.238333333333337</c:v>
                </c:pt>
                <c:pt idx="2">
                  <c:v>32.008000000000003</c:v>
                </c:pt>
                <c:pt idx="3">
                  <c:v>51.801000000000009</c:v>
                </c:pt>
                <c:pt idx="4">
                  <c:v>107.09566666666666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4E-4E5A-98A1-9CC659C0D2F6}"/>
            </c:ext>
          </c:extLst>
        </c:ser>
        <c:ser>
          <c:idx val="1"/>
          <c:order val="1"/>
          <c:tx>
            <c:strRef>
              <c:f>'o4-mini'!$R$1</c:f>
              <c:strCache>
                <c:ptCount val="1"/>
                <c:pt idx="0">
                  <c:v>o4-mini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'o4-mini'!$R$3:$R$7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'o4-mini'!$V$3:$V$7</c:f>
              <c:numCache>
                <c:formatCode>0.00</c:formatCode>
                <c:ptCount val="5"/>
                <c:pt idx="0">
                  <c:v>20.236999999999998</c:v>
                </c:pt>
                <c:pt idx="1">
                  <c:v>18.156333333333333</c:v>
                </c:pt>
                <c:pt idx="2">
                  <c:v>21.609666666666669</c:v>
                </c:pt>
                <c:pt idx="3">
                  <c:v>29.847333333333335</c:v>
                </c:pt>
                <c:pt idx="4">
                  <c:v>41.159666666666674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4E-4E5A-98A1-9CC659C0D2F6}"/>
            </c:ext>
          </c:extLst>
        </c:ser>
        <c:ser>
          <c:idx val="2"/>
          <c:order val="2"/>
          <c:tx>
            <c:strRef>
              <c:f>'gpt-4o-mini'!$R$1</c:f>
              <c:strCache>
                <c:ptCount val="1"/>
                <c:pt idx="0">
                  <c:v>gpt-4o-mini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'gpt-4o-mini'!$R$3:$R$7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'gpt-4o-mini'!$V$3:$V$7</c:f>
              <c:numCache>
                <c:formatCode>0.00</c:formatCode>
                <c:ptCount val="5"/>
                <c:pt idx="0">
                  <c:v>10.080999999999998</c:v>
                </c:pt>
                <c:pt idx="1">
                  <c:v>11.328666666666669</c:v>
                </c:pt>
                <c:pt idx="2">
                  <c:v>13.688666666666668</c:v>
                </c:pt>
                <c:pt idx="3">
                  <c:v>36.797333333333334</c:v>
                </c:pt>
                <c:pt idx="4">
                  <c:v>59.111666666666672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4E-4E5A-98A1-9CC659C0D2F6}"/>
            </c:ext>
          </c:extLst>
        </c:ser>
        <c:ser>
          <c:idx val="3"/>
          <c:order val="3"/>
          <c:tx>
            <c:strRef>
              <c:f>'gpt-4.1-mini'!$R$1</c:f>
              <c:strCache>
                <c:ptCount val="1"/>
                <c:pt idx="0">
                  <c:v>gpt-4.1-mini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'gpt-4.1-mini'!$R$3:$R$7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'gpt-4.1-mini'!$V$3:$V$7</c:f>
              <c:numCache>
                <c:formatCode>0.00</c:formatCode>
                <c:ptCount val="5"/>
                <c:pt idx="0">
                  <c:v>7.1176666666666675</c:v>
                </c:pt>
                <c:pt idx="1">
                  <c:v>10.239333333333333</c:v>
                </c:pt>
                <c:pt idx="2">
                  <c:v>7.7290000000000001</c:v>
                </c:pt>
                <c:pt idx="3">
                  <c:v>16.077000000000002</c:v>
                </c:pt>
                <c:pt idx="4">
                  <c:v>33.736666666666665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4E-4E5A-98A1-9CC659C0D2F6}"/>
            </c:ext>
          </c:extLst>
        </c:ser>
        <c:ser>
          <c:idx val="4"/>
          <c:order val="4"/>
          <c:tx>
            <c:strRef>
              <c:f>'gpt-5-mini'!$R$1</c:f>
              <c:strCache>
                <c:ptCount val="1"/>
                <c:pt idx="0">
                  <c:v>gpt-5-mini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'gpt-5-mini'!$R$3:$R$7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'gpt-5-mini'!$V$3:$V$7</c:f>
              <c:numCache>
                <c:formatCode>0.00</c:formatCode>
                <c:ptCount val="5"/>
                <c:pt idx="0">
                  <c:v>20.726666666666667</c:v>
                </c:pt>
                <c:pt idx="1">
                  <c:v>18.475000000000001</c:v>
                </c:pt>
                <c:pt idx="2">
                  <c:v>21.445666666666668</c:v>
                </c:pt>
                <c:pt idx="3">
                  <c:v>31.757000000000001</c:v>
                </c:pt>
                <c:pt idx="4">
                  <c:v>48.351333333333336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24E-4E5A-98A1-9CC659C0D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11440"/>
        <c:axId val="188112400"/>
      </c:scatterChart>
      <c:valAx>
        <c:axId val="188111440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112400"/>
        <c:crosses val="autoZero"/>
        <c:crossBetween val="midCat"/>
      </c:valAx>
      <c:valAx>
        <c:axId val="18811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111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Automata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'gpt-5-nano'!$R$1</c:f>
              <c:strCache>
                <c:ptCount val="1"/>
                <c:pt idx="0">
                  <c:v>gpt-5-nano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'gpt-5-nano'!$R$3:$R$7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'gpt-5-nano'!$X$3:$X$7</c:f>
              <c:numCache>
                <c:formatCode>0.00</c:formatCode>
                <c:ptCount val="5"/>
                <c:pt idx="0">
                  <c:v>58.119</c:v>
                </c:pt>
                <c:pt idx="1">
                  <c:v>62.658999999999999</c:v>
                </c:pt>
                <c:pt idx="2">
                  <c:v>47.829000000000001</c:v>
                </c:pt>
                <c:pt idx="3">
                  <c:v>86.951999999999998</c:v>
                </c:pt>
                <c:pt idx="4">
                  <c:v>112.268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84-4217-9526-8E83286BF165}"/>
            </c:ext>
          </c:extLst>
        </c:ser>
        <c:ser>
          <c:idx val="1"/>
          <c:order val="1"/>
          <c:tx>
            <c:strRef>
              <c:f>'o4-mini'!$R$1</c:f>
              <c:strCache>
                <c:ptCount val="1"/>
                <c:pt idx="0">
                  <c:v>o4-mini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'o4-mini'!$R$3:$R$7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'o4-mini'!$X$3:$X$7</c:f>
              <c:numCache>
                <c:formatCode>0.00</c:formatCode>
                <c:ptCount val="5"/>
                <c:pt idx="0">
                  <c:v>20.944499999999998</c:v>
                </c:pt>
                <c:pt idx="1">
                  <c:v>18.381499999999999</c:v>
                </c:pt>
                <c:pt idx="2">
                  <c:v>21.009</c:v>
                </c:pt>
                <c:pt idx="3">
                  <c:v>27.863500000000002</c:v>
                </c:pt>
                <c:pt idx="4">
                  <c:v>69.332999999999998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84-4217-9526-8E83286BF165}"/>
            </c:ext>
          </c:extLst>
        </c:ser>
        <c:ser>
          <c:idx val="2"/>
          <c:order val="2"/>
          <c:tx>
            <c:strRef>
              <c:f>'gpt-4o-mini'!$R$1</c:f>
              <c:strCache>
                <c:ptCount val="1"/>
                <c:pt idx="0">
                  <c:v>gpt-4o-mini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'gpt-4o-mini'!$R$3:$R$7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'gpt-4o-mini'!$X$3:$X$7</c:f>
              <c:numCache>
                <c:formatCode>0.00</c:formatCode>
                <c:ptCount val="5"/>
                <c:pt idx="0">
                  <c:v>25.102499999999999</c:v>
                </c:pt>
                <c:pt idx="1">
                  <c:v>28.16</c:v>
                </c:pt>
                <c:pt idx="2">
                  <c:v>60.691500000000005</c:v>
                </c:pt>
                <c:pt idx="3">
                  <c:v>77.701999999999998</c:v>
                </c:pt>
                <c:pt idx="4">
                  <c:v>237.0025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84-4217-9526-8E83286BF165}"/>
            </c:ext>
          </c:extLst>
        </c:ser>
        <c:ser>
          <c:idx val="3"/>
          <c:order val="3"/>
          <c:tx>
            <c:strRef>
              <c:f>'gpt-4.1-mini'!$R$1</c:f>
              <c:strCache>
                <c:ptCount val="1"/>
                <c:pt idx="0">
                  <c:v>gpt-4.1-mini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'gpt-4.1-mini'!$R$3:$R$7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'gpt-4.1-mini'!$X$3:$X$7</c:f>
              <c:numCache>
                <c:formatCode>0.00</c:formatCode>
                <c:ptCount val="5"/>
                <c:pt idx="0">
                  <c:v>8.472999999999999</c:v>
                </c:pt>
                <c:pt idx="1">
                  <c:v>8.6060000000000016</c:v>
                </c:pt>
                <c:pt idx="2">
                  <c:v>12.189</c:v>
                </c:pt>
                <c:pt idx="3">
                  <c:v>42.326999999999998</c:v>
                </c:pt>
                <c:pt idx="4">
                  <c:v>115.86449999999999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84-4217-9526-8E83286BF165}"/>
            </c:ext>
          </c:extLst>
        </c:ser>
        <c:ser>
          <c:idx val="4"/>
          <c:order val="4"/>
          <c:tx>
            <c:strRef>
              <c:f>'gpt-5-mini'!$R$1</c:f>
              <c:strCache>
                <c:ptCount val="1"/>
                <c:pt idx="0">
                  <c:v>gpt-5-mini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'gpt-5-mini'!$R$3:$R$7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'gpt-5-mini'!$X$3:$X$7</c:f>
              <c:numCache>
                <c:formatCode>0.00</c:formatCode>
                <c:ptCount val="5"/>
                <c:pt idx="0">
                  <c:v>20.797499999999999</c:v>
                </c:pt>
                <c:pt idx="1">
                  <c:v>24.878999999999998</c:v>
                </c:pt>
                <c:pt idx="2">
                  <c:v>29.049500000000002</c:v>
                </c:pt>
                <c:pt idx="3">
                  <c:v>40.46</c:v>
                </c:pt>
                <c:pt idx="4">
                  <c:v>68.578999999999994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84-4217-9526-8E83286BF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11440"/>
        <c:axId val="188112400"/>
      </c:scatterChart>
      <c:valAx>
        <c:axId val="188111440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112400"/>
        <c:crosses val="autoZero"/>
        <c:crossBetween val="midCat"/>
      </c:valAx>
      <c:valAx>
        <c:axId val="18811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111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Words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'gpt-5-nano'!$R$1</c:f>
              <c:strCache>
                <c:ptCount val="1"/>
                <c:pt idx="0">
                  <c:v>gpt-5-nano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'gpt-5-nano'!$R$3:$R$7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'gpt-5-nano'!$Z$3:$Z$7</c:f>
              <c:numCache>
                <c:formatCode>0.00</c:formatCode>
                <c:ptCount val="5"/>
                <c:pt idx="0">
                  <c:v>22.875500000000002</c:v>
                </c:pt>
                <c:pt idx="1">
                  <c:v>32.042999999999999</c:v>
                </c:pt>
                <c:pt idx="2">
                  <c:v>25.389499999999998</c:v>
                </c:pt>
                <c:pt idx="3">
                  <c:v>33.594000000000001</c:v>
                </c:pt>
                <c:pt idx="4">
                  <c:v>246.48149999999998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06-4200-9131-E26162C911EA}"/>
            </c:ext>
          </c:extLst>
        </c:ser>
        <c:ser>
          <c:idx val="1"/>
          <c:order val="1"/>
          <c:tx>
            <c:strRef>
              <c:f>'o4-mini'!$R$1</c:f>
              <c:strCache>
                <c:ptCount val="1"/>
                <c:pt idx="0">
                  <c:v>o4-mini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'o4-mini'!$R$3:$R$7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'o4-mini'!$Z$3:$Z$7</c:f>
              <c:numCache>
                <c:formatCode>0.00</c:formatCode>
                <c:ptCount val="5"/>
                <c:pt idx="0">
                  <c:v>11.448499999999999</c:v>
                </c:pt>
                <c:pt idx="1">
                  <c:v>11.061500000000001</c:v>
                </c:pt>
                <c:pt idx="2">
                  <c:v>12.815</c:v>
                </c:pt>
                <c:pt idx="3">
                  <c:v>20.045500000000001</c:v>
                </c:pt>
                <c:pt idx="4">
                  <c:v>24.628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06-4200-9131-E26162C911EA}"/>
            </c:ext>
          </c:extLst>
        </c:ser>
        <c:ser>
          <c:idx val="2"/>
          <c:order val="2"/>
          <c:tx>
            <c:strRef>
              <c:f>'gpt-4o-mini'!$R$1</c:f>
              <c:strCache>
                <c:ptCount val="1"/>
                <c:pt idx="0">
                  <c:v>gpt-4o-mini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'gpt-4o-mini'!$R$3:$R$7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'gpt-4o-mini'!$Z$3:$Z$7</c:f>
              <c:numCache>
                <c:formatCode>0.00</c:formatCode>
                <c:ptCount val="5"/>
                <c:pt idx="0">
                  <c:v>4.3209999999999997</c:v>
                </c:pt>
                <c:pt idx="1">
                  <c:v>10.3855</c:v>
                </c:pt>
                <c:pt idx="2">
                  <c:v>8.838000000000001</c:v>
                </c:pt>
                <c:pt idx="3">
                  <c:v>22.189499999999999</c:v>
                </c:pt>
                <c:pt idx="4">
                  <c:v>40.1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06-4200-9131-E26162C911EA}"/>
            </c:ext>
          </c:extLst>
        </c:ser>
        <c:ser>
          <c:idx val="3"/>
          <c:order val="3"/>
          <c:tx>
            <c:strRef>
              <c:f>'gpt-4.1-mini'!$R$1</c:f>
              <c:strCache>
                <c:ptCount val="1"/>
                <c:pt idx="0">
                  <c:v>gpt-4.1-mini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'gpt-4.1-mini'!$R$3:$R$7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'gpt-4.1-mini'!$Z$3:$Z$7</c:f>
              <c:numCache>
                <c:formatCode>0.00</c:formatCode>
                <c:ptCount val="5"/>
                <c:pt idx="0">
                  <c:v>2.0529999999999999</c:v>
                </c:pt>
                <c:pt idx="1">
                  <c:v>2.246</c:v>
                </c:pt>
                <c:pt idx="2">
                  <c:v>3.0569999999999999</c:v>
                </c:pt>
                <c:pt idx="3">
                  <c:v>7.3454999999999995</c:v>
                </c:pt>
                <c:pt idx="4">
                  <c:v>16.868500000000001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06-4200-9131-E26162C911EA}"/>
            </c:ext>
          </c:extLst>
        </c:ser>
        <c:ser>
          <c:idx val="4"/>
          <c:order val="4"/>
          <c:tx>
            <c:strRef>
              <c:f>'gpt-5-mini'!$R$1</c:f>
              <c:strCache>
                <c:ptCount val="1"/>
                <c:pt idx="0">
                  <c:v>gpt-5-mini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'gpt-5-mini'!$R$3:$R$7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'gpt-5-mini'!$Z$3:$Z$7</c:f>
              <c:numCache>
                <c:formatCode>0.00</c:formatCode>
                <c:ptCount val="5"/>
                <c:pt idx="0">
                  <c:v>15.43</c:v>
                </c:pt>
                <c:pt idx="1">
                  <c:v>12.811</c:v>
                </c:pt>
                <c:pt idx="2">
                  <c:v>14.488</c:v>
                </c:pt>
                <c:pt idx="3">
                  <c:v>16.573499999999999</c:v>
                </c:pt>
                <c:pt idx="4">
                  <c:v>25.704999999999998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F06-4200-9131-E26162C91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11440"/>
        <c:axId val="188112400"/>
      </c:scatterChart>
      <c:valAx>
        <c:axId val="188111440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112400"/>
        <c:crosses val="autoZero"/>
        <c:crossBetween val="midCat"/>
      </c:valAx>
      <c:valAx>
        <c:axId val="18811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111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758824</xdr:colOff>
      <xdr:row>7</xdr:row>
      <xdr:rowOff>101600</xdr:rowOff>
    </xdr:from>
    <xdr:to>
      <xdr:col>25</xdr:col>
      <xdr:colOff>228599</xdr:colOff>
      <xdr:row>26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2E8D2B-925F-7841-3D8D-891F47FEF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749300</xdr:colOff>
      <xdr:row>27</xdr:row>
      <xdr:rowOff>31750</xdr:rowOff>
    </xdr:from>
    <xdr:to>
      <xdr:col>25</xdr:col>
      <xdr:colOff>219075</xdr:colOff>
      <xdr:row>46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CC2B3D-E7C6-4472-9888-058979F94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749300</xdr:colOff>
      <xdr:row>46</xdr:row>
      <xdr:rowOff>95250</xdr:rowOff>
    </xdr:from>
    <xdr:to>
      <xdr:col>25</xdr:col>
      <xdr:colOff>219075</xdr:colOff>
      <xdr:row>65</xdr:row>
      <xdr:rowOff>88900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041C0BE-A2B1-41E1-931A-A5CC1C75A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758824</xdr:colOff>
      <xdr:row>7</xdr:row>
      <xdr:rowOff>101600</xdr:rowOff>
    </xdr:from>
    <xdr:to>
      <xdr:col>25</xdr:col>
      <xdr:colOff>228599</xdr:colOff>
      <xdr:row>26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CCE4F8-16EE-4BBB-BA29-3C7FDA56B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749300</xdr:colOff>
      <xdr:row>27</xdr:row>
      <xdr:rowOff>31750</xdr:rowOff>
    </xdr:from>
    <xdr:to>
      <xdr:col>25</xdr:col>
      <xdr:colOff>219075</xdr:colOff>
      <xdr:row>46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7D3B69-E3D7-4039-8018-8D0A608CA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749300</xdr:colOff>
      <xdr:row>46</xdr:row>
      <xdr:rowOff>95250</xdr:rowOff>
    </xdr:from>
    <xdr:to>
      <xdr:col>25</xdr:col>
      <xdr:colOff>219075</xdr:colOff>
      <xdr:row>65</xdr:row>
      <xdr:rowOff>88900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208C3F8-E09A-4B27-BB6B-05A72FEE1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758824</xdr:colOff>
      <xdr:row>7</xdr:row>
      <xdr:rowOff>101600</xdr:rowOff>
    </xdr:from>
    <xdr:to>
      <xdr:col>25</xdr:col>
      <xdr:colOff>228599</xdr:colOff>
      <xdr:row>26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C563A5-0922-4134-8891-C4D763ADF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749300</xdr:colOff>
      <xdr:row>27</xdr:row>
      <xdr:rowOff>31750</xdr:rowOff>
    </xdr:from>
    <xdr:to>
      <xdr:col>25</xdr:col>
      <xdr:colOff>219075</xdr:colOff>
      <xdr:row>46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DB2EFA-2CD5-49CF-B89E-90E093FD8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749300</xdr:colOff>
      <xdr:row>46</xdr:row>
      <xdr:rowOff>95250</xdr:rowOff>
    </xdr:from>
    <xdr:to>
      <xdr:col>25</xdr:col>
      <xdr:colOff>219075</xdr:colOff>
      <xdr:row>65</xdr:row>
      <xdr:rowOff>88900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064915E-1E45-40B5-B912-300FFE0DB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758824</xdr:colOff>
      <xdr:row>7</xdr:row>
      <xdr:rowOff>101600</xdr:rowOff>
    </xdr:from>
    <xdr:to>
      <xdr:col>25</xdr:col>
      <xdr:colOff>228599</xdr:colOff>
      <xdr:row>26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05726-28CF-41F4-AC27-9D52C0B9B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749300</xdr:colOff>
      <xdr:row>27</xdr:row>
      <xdr:rowOff>31750</xdr:rowOff>
    </xdr:from>
    <xdr:to>
      <xdr:col>25</xdr:col>
      <xdr:colOff>219075</xdr:colOff>
      <xdr:row>46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294171-4D2C-4656-BE29-08FEC9347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749300</xdr:colOff>
      <xdr:row>46</xdr:row>
      <xdr:rowOff>95250</xdr:rowOff>
    </xdr:from>
    <xdr:to>
      <xdr:col>25</xdr:col>
      <xdr:colOff>219075</xdr:colOff>
      <xdr:row>65</xdr:row>
      <xdr:rowOff>88900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E2A6CA7-D1A3-4DDF-9F13-894623818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758824</xdr:colOff>
      <xdr:row>7</xdr:row>
      <xdr:rowOff>101600</xdr:rowOff>
    </xdr:from>
    <xdr:to>
      <xdr:col>25</xdr:col>
      <xdr:colOff>228599</xdr:colOff>
      <xdr:row>26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DDBD5A-50C4-4954-BFAD-A29E45E51E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749300</xdr:colOff>
      <xdr:row>27</xdr:row>
      <xdr:rowOff>31750</xdr:rowOff>
    </xdr:from>
    <xdr:to>
      <xdr:col>25</xdr:col>
      <xdr:colOff>219075</xdr:colOff>
      <xdr:row>46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404F16-BF7B-4A08-981A-35F4264432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749300</xdr:colOff>
      <xdr:row>46</xdr:row>
      <xdr:rowOff>95250</xdr:rowOff>
    </xdr:from>
    <xdr:to>
      <xdr:col>25</xdr:col>
      <xdr:colOff>219075</xdr:colOff>
      <xdr:row>65</xdr:row>
      <xdr:rowOff>88900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EC26407-8102-4ADA-82B3-DE4ED8C33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146051</xdr:colOff>
      <xdr:row>0</xdr:row>
      <xdr:rowOff>63500</xdr:rowOff>
    </xdr:from>
    <xdr:to>
      <xdr:col>21</xdr:col>
      <xdr:colOff>482600</xdr:colOff>
      <xdr:row>21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20B48D-C97E-EF29-9551-1853D172E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146051</xdr:colOff>
      <xdr:row>21</xdr:row>
      <xdr:rowOff>101600</xdr:rowOff>
    </xdr:from>
    <xdr:to>
      <xdr:col>21</xdr:col>
      <xdr:colOff>487822</xdr:colOff>
      <xdr:row>44</xdr:row>
      <xdr:rowOff>101600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50C8C9-D7DF-4C4E-A360-B9D806298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558800</xdr:colOff>
      <xdr:row>0</xdr:row>
      <xdr:rowOff>76200</xdr:rowOff>
    </xdr:from>
    <xdr:to>
      <xdr:col>28</xdr:col>
      <xdr:colOff>584200</xdr:colOff>
      <xdr:row>21</xdr:row>
      <xdr:rowOff>101600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408E617-15A7-41E2-B990-8C6343254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539750</xdr:colOff>
      <xdr:row>21</xdr:row>
      <xdr:rowOff>152400</xdr:rowOff>
    </xdr:from>
    <xdr:to>
      <xdr:col>28</xdr:col>
      <xdr:colOff>565150</xdr:colOff>
      <xdr:row>44</xdr:row>
      <xdr:rowOff>12700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FB225B9-9826-452C-BAA6-2BE45D6DC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3301-EAAA-49AA-AF18-789427039612}">
  <dimension ref="A1:N32"/>
  <sheetViews>
    <sheetView tabSelected="1" workbookViewId="0">
      <selection activeCell="Q23" sqref="Q23"/>
    </sheetView>
  </sheetViews>
  <sheetFormatPr baseColWidth="10" defaultRowHeight="15" x14ac:dyDescent="0.25"/>
  <cols>
    <col min="3" max="14" width="9.5703125" customWidth="1"/>
  </cols>
  <sheetData>
    <row r="1" spans="1:14" ht="15.75" thickBot="1" x14ac:dyDescent="0.3">
      <c r="C1" s="30" t="s">
        <v>0</v>
      </c>
      <c r="D1" s="31"/>
      <c r="E1" s="32"/>
      <c r="F1" s="23" t="s">
        <v>13</v>
      </c>
      <c r="G1" s="24"/>
      <c r="H1" s="25"/>
      <c r="I1" s="23" t="s">
        <v>15</v>
      </c>
      <c r="J1" s="24"/>
      <c r="K1" s="25"/>
      <c r="L1" s="23" t="s">
        <v>14</v>
      </c>
      <c r="M1" s="24"/>
      <c r="N1" s="25"/>
    </row>
    <row r="2" spans="1:14" ht="30.75" thickBot="1" x14ac:dyDescent="0.3">
      <c r="A2" s="16" t="s">
        <v>3</v>
      </c>
      <c r="B2" s="17" t="s">
        <v>2</v>
      </c>
      <c r="C2" s="18" t="s">
        <v>16</v>
      </c>
      <c r="D2" s="18" t="s">
        <v>17</v>
      </c>
      <c r="E2" s="18" t="s">
        <v>18</v>
      </c>
      <c r="F2" s="18" t="s">
        <v>16</v>
      </c>
      <c r="G2" s="18" t="s">
        <v>17</v>
      </c>
      <c r="H2" s="18" t="s">
        <v>18</v>
      </c>
      <c r="I2" s="18" t="s">
        <v>16</v>
      </c>
      <c r="J2" s="18" t="s">
        <v>17</v>
      </c>
      <c r="K2" s="18" t="s">
        <v>18</v>
      </c>
      <c r="L2" s="18" t="s">
        <v>16</v>
      </c>
      <c r="M2" s="18" t="s">
        <v>17</v>
      </c>
      <c r="N2" s="18" t="s">
        <v>18</v>
      </c>
    </row>
    <row r="3" spans="1:14" x14ac:dyDescent="0.25">
      <c r="A3" s="26" t="s">
        <v>1</v>
      </c>
      <c r="B3" s="7" t="s">
        <v>5</v>
      </c>
      <c r="C3" s="8">
        <v>0</v>
      </c>
      <c r="D3" s="5">
        <v>15</v>
      </c>
      <c r="E3" s="11">
        <v>20.6342</v>
      </c>
      <c r="F3" s="8">
        <v>3</v>
      </c>
      <c r="G3" s="5">
        <v>17</v>
      </c>
      <c r="H3" s="11">
        <v>28.052666666666667</v>
      </c>
      <c r="I3" s="8">
        <v>0</v>
      </c>
      <c r="J3" s="5">
        <v>8</v>
      </c>
      <c r="K3" s="11">
        <v>58.119</v>
      </c>
      <c r="L3" s="8">
        <v>3</v>
      </c>
      <c r="M3" s="5">
        <v>4</v>
      </c>
      <c r="N3" s="11">
        <v>22.875500000000002</v>
      </c>
    </row>
    <row r="4" spans="1:14" x14ac:dyDescent="0.25">
      <c r="A4" s="27"/>
      <c r="B4" s="2" t="s">
        <v>6</v>
      </c>
      <c r="C4" s="9">
        <v>0</v>
      </c>
      <c r="D4" s="4">
        <v>8</v>
      </c>
      <c r="E4" s="12">
        <v>12.1792</v>
      </c>
      <c r="F4" s="9">
        <v>0</v>
      </c>
      <c r="G4" s="4">
        <v>0</v>
      </c>
      <c r="H4" s="12">
        <v>20.236999999999998</v>
      </c>
      <c r="I4" s="9">
        <v>0</v>
      </c>
      <c r="J4" s="4">
        <v>0</v>
      </c>
      <c r="K4" s="12">
        <v>20.944499999999998</v>
      </c>
      <c r="L4" s="9">
        <v>0</v>
      </c>
      <c r="M4" s="4">
        <v>0</v>
      </c>
      <c r="N4" s="12">
        <v>11.448499999999999</v>
      </c>
    </row>
    <row r="5" spans="1:14" x14ac:dyDescent="0.25">
      <c r="A5" s="27"/>
      <c r="B5" s="2" t="s">
        <v>7</v>
      </c>
      <c r="C5" s="9">
        <v>0</v>
      </c>
      <c r="D5" s="4">
        <v>188</v>
      </c>
      <c r="E5" s="12">
        <v>12.6266</v>
      </c>
      <c r="F5" s="9">
        <v>0</v>
      </c>
      <c r="G5" s="4">
        <v>57</v>
      </c>
      <c r="H5" s="12">
        <v>10.080999999999998</v>
      </c>
      <c r="I5" s="9">
        <v>0</v>
      </c>
      <c r="J5" s="4">
        <v>22</v>
      </c>
      <c r="K5" s="12">
        <v>25.102499999999999</v>
      </c>
      <c r="L5" s="9">
        <v>0</v>
      </c>
      <c r="M5" s="4">
        <v>10</v>
      </c>
      <c r="N5" s="12">
        <v>4.3209999999999997</v>
      </c>
    </row>
    <row r="6" spans="1:14" x14ac:dyDescent="0.25">
      <c r="A6" s="27"/>
      <c r="B6" s="2" t="s">
        <v>8</v>
      </c>
      <c r="C6" s="9">
        <v>0</v>
      </c>
      <c r="D6" s="4">
        <v>23</v>
      </c>
      <c r="E6" s="13">
        <v>2.7808000000000002</v>
      </c>
      <c r="F6" s="9">
        <v>0</v>
      </c>
      <c r="G6" s="4">
        <v>29</v>
      </c>
      <c r="H6" s="13">
        <v>7.1176666666666675</v>
      </c>
      <c r="I6" s="9">
        <v>0</v>
      </c>
      <c r="J6" s="4">
        <v>9</v>
      </c>
      <c r="K6" s="13">
        <v>8.472999999999999</v>
      </c>
      <c r="L6" s="9">
        <v>0</v>
      </c>
      <c r="M6" s="4">
        <v>4</v>
      </c>
      <c r="N6" s="13">
        <v>2.0529999999999999</v>
      </c>
    </row>
    <row r="7" spans="1:14" ht="15.75" thickBot="1" x14ac:dyDescent="0.3">
      <c r="A7" s="28"/>
      <c r="B7" s="3" t="s">
        <v>9</v>
      </c>
      <c r="C7" s="10">
        <v>0</v>
      </c>
      <c r="D7" s="6">
        <v>9</v>
      </c>
      <c r="E7" s="14">
        <v>14.234599999999997</v>
      </c>
      <c r="F7" s="10">
        <v>0</v>
      </c>
      <c r="G7" s="6">
        <v>1</v>
      </c>
      <c r="H7" s="14">
        <v>20.726666666666667</v>
      </c>
      <c r="I7" s="10">
        <v>0</v>
      </c>
      <c r="J7" s="6">
        <v>0</v>
      </c>
      <c r="K7" s="14">
        <v>20.797499999999999</v>
      </c>
      <c r="L7" s="10">
        <v>0</v>
      </c>
      <c r="M7" s="6">
        <v>6</v>
      </c>
      <c r="N7" s="14">
        <v>15.43</v>
      </c>
    </row>
    <row r="8" spans="1:14" x14ac:dyDescent="0.25">
      <c r="A8" s="26" t="s">
        <v>4</v>
      </c>
      <c r="B8" s="7" t="s">
        <v>5</v>
      </c>
      <c r="C8" s="8">
        <v>0</v>
      </c>
      <c r="D8" s="5">
        <v>9</v>
      </c>
      <c r="E8" s="11">
        <v>27.446400000000001</v>
      </c>
      <c r="F8" s="8">
        <v>15</v>
      </c>
      <c r="G8" s="5">
        <v>34</v>
      </c>
      <c r="H8" s="11">
        <v>34.238333333333337</v>
      </c>
      <c r="I8" s="8">
        <v>0</v>
      </c>
      <c r="J8" s="5">
        <v>8</v>
      </c>
      <c r="K8" s="11">
        <v>62.658999999999999</v>
      </c>
      <c r="L8" s="8">
        <v>6</v>
      </c>
      <c r="M8" s="5">
        <v>15</v>
      </c>
      <c r="N8" s="11">
        <v>32.042999999999999</v>
      </c>
    </row>
    <row r="9" spans="1:14" x14ac:dyDescent="0.25">
      <c r="A9" s="29"/>
      <c r="B9" s="1" t="s">
        <v>6</v>
      </c>
      <c r="C9" s="9">
        <v>0</v>
      </c>
      <c r="D9" s="4">
        <v>0</v>
      </c>
      <c r="E9" s="12">
        <v>18.651800000000001</v>
      </c>
      <c r="F9" s="9">
        <v>0</v>
      </c>
      <c r="G9" s="4">
        <v>0</v>
      </c>
      <c r="H9" s="12">
        <v>18.156333333333333</v>
      </c>
      <c r="I9" s="9">
        <v>0</v>
      </c>
      <c r="J9" s="4">
        <v>0</v>
      </c>
      <c r="K9" s="12">
        <v>18.381499999999999</v>
      </c>
      <c r="L9" s="9">
        <v>0</v>
      </c>
      <c r="M9" s="4">
        <v>0</v>
      </c>
      <c r="N9" s="12">
        <v>11.061500000000001</v>
      </c>
    </row>
    <row r="10" spans="1:14" x14ac:dyDescent="0.25">
      <c r="A10" s="29"/>
      <c r="B10" s="1" t="s">
        <v>7</v>
      </c>
      <c r="C10" s="9">
        <v>0</v>
      </c>
      <c r="D10" s="4">
        <v>201</v>
      </c>
      <c r="E10" s="12">
        <v>28.727800000000002</v>
      </c>
      <c r="F10" s="9">
        <v>0</v>
      </c>
      <c r="G10" s="4">
        <v>61</v>
      </c>
      <c r="H10" s="12">
        <v>11.328666666666669</v>
      </c>
      <c r="I10" s="9">
        <v>0</v>
      </c>
      <c r="J10" s="4">
        <v>21</v>
      </c>
      <c r="K10" s="12">
        <v>28.16</v>
      </c>
      <c r="L10" s="9">
        <v>0</v>
      </c>
      <c r="M10" s="4">
        <v>28</v>
      </c>
      <c r="N10" s="12">
        <v>10.3855</v>
      </c>
    </row>
    <row r="11" spans="1:14" x14ac:dyDescent="0.25">
      <c r="A11" s="27"/>
      <c r="B11" s="2" t="s">
        <v>8</v>
      </c>
      <c r="C11" s="9">
        <v>0</v>
      </c>
      <c r="D11" s="4">
        <v>19</v>
      </c>
      <c r="E11" s="13">
        <v>6.8275999999999994</v>
      </c>
      <c r="F11" s="9">
        <v>0</v>
      </c>
      <c r="G11" s="4">
        <v>42</v>
      </c>
      <c r="H11" s="13">
        <v>10.239333333333333</v>
      </c>
      <c r="I11" s="9">
        <v>0</v>
      </c>
      <c r="J11" s="4">
        <v>6</v>
      </c>
      <c r="K11" s="13">
        <v>8.6060000000000016</v>
      </c>
      <c r="L11" s="9">
        <v>0</v>
      </c>
      <c r="M11" s="4">
        <v>1</v>
      </c>
      <c r="N11" s="13">
        <v>2.246</v>
      </c>
    </row>
    <row r="12" spans="1:14" ht="15.75" thickBot="1" x14ac:dyDescent="0.3">
      <c r="A12" s="28"/>
      <c r="B12" s="3" t="s">
        <v>9</v>
      </c>
      <c r="C12" s="10">
        <v>0</v>
      </c>
      <c r="D12" s="6">
        <v>0</v>
      </c>
      <c r="E12" s="14">
        <v>24.289399999999997</v>
      </c>
      <c r="F12" s="10">
        <v>0</v>
      </c>
      <c r="G12" s="6">
        <v>3</v>
      </c>
      <c r="H12" s="14">
        <v>18.475000000000001</v>
      </c>
      <c r="I12" s="10">
        <v>0</v>
      </c>
      <c r="J12" s="6">
        <v>0</v>
      </c>
      <c r="K12" s="14">
        <v>24.878999999999998</v>
      </c>
      <c r="L12" s="10">
        <v>0</v>
      </c>
      <c r="M12" s="6">
        <v>0</v>
      </c>
      <c r="N12" s="14">
        <v>12.811</v>
      </c>
    </row>
    <row r="13" spans="1:14" x14ac:dyDescent="0.25">
      <c r="A13" s="26" t="s">
        <v>10</v>
      </c>
      <c r="B13" s="7" t="s">
        <v>5</v>
      </c>
      <c r="C13" s="8">
        <v>21</v>
      </c>
      <c r="D13" s="5">
        <v>39</v>
      </c>
      <c r="E13" s="11">
        <v>43.213000000000001</v>
      </c>
      <c r="F13" s="8">
        <v>0</v>
      </c>
      <c r="G13" s="5">
        <v>22</v>
      </c>
      <c r="H13" s="11">
        <v>32.008000000000003</v>
      </c>
      <c r="I13" s="8">
        <v>4</v>
      </c>
      <c r="J13" s="5">
        <v>4</v>
      </c>
      <c r="K13" s="11">
        <v>47.829000000000001</v>
      </c>
      <c r="L13" s="8">
        <v>0</v>
      </c>
      <c r="M13" s="5">
        <v>6</v>
      </c>
      <c r="N13" s="11">
        <v>25.389499999999998</v>
      </c>
    </row>
    <row r="14" spans="1:14" x14ac:dyDescent="0.25">
      <c r="A14" s="29"/>
      <c r="B14" s="1" t="s">
        <v>6</v>
      </c>
      <c r="C14" s="9">
        <v>0</v>
      </c>
      <c r="D14" s="4">
        <v>0</v>
      </c>
      <c r="E14" s="12">
        <v>23.866999999999997</v>
      </c>
      <c r="F14" s="9">
        <v>0</v>
      </c>
      <c r="G14" s="4">
        <v>0</v>
      </c>
      <c r="H14" s="12">
        <v>21.609666666666669</v>
      </c>
      <c r="I14" s="9">
        <v>0</v>
      </c>
      <c r="J14" s="4">
        <v>0</v>
      </c>
      <c r="K14" s="12">
        <v>21.009</v>
      </c>
      <c r="L14" s="9">
        <v>0</v>
      </c>
      <c r="M14" s="4">
        <v>0</v>
      </c>
      <c r="N14" s="12">
        <v>12.815</v>
      </c>
    </row>
    <row r="15" spans="1:14" x14ac:dyDescent="0.25">
      <c r="A15" s="29"/>
      <c r="B15" s="1" t="s">
        <v>7</v>
      </c>
      <c r="C15" s="9">
        <v>0</v>
      </c>
      <c r="D15" s="4">
        <v>201</v>
      </c>
      <c r="E15" s="12">
        <v>44.3902</v>
      </c>
      <c r="F15" s="9">
        <v>0</v>
      </c>
      <c r="G15" s="4">
        <v>53</v>
      </c>
      <c r="H15" s="12">
        <v>13.688666666666668</v>
      </c>
      <c r="I15" s="9">
        <v>0</v>
      </c>
      <c r="J15" s="4">
        <v>27</v>
      </c>
      <c r="K15" s="12">
        <v>60.691500000000005</v>
      </c>
      <c r="L15" s="9">
        <v>0</v>
      </c>
      <c r="M15" s="4">
        <v>15</v>
      </c>
      <c r="N15" s="12">
        <v>8.838000000000001</v>
      </c>
    </row>
    <row r="16" spans="1:14" x14ac:dyDescent="0.25">
      <c r="A16" s="27"/>
      <c r="B16" s="2" t="s">
        <v>8</v>
      </c>
      <c r="C16" s="9">
        <v>0</v>
      </c>
      <c r="D16" s="4">
        <v>30</v>
      </c>
      <c r="E16" s="13">
        <v>11.812200000000001</v>
      </c>
      <c r="F16" s="9">
        <v>0</v>
      </c>
      <c r="G16" s="4">
        <v>20</v>
      </c>
      <c r="H16" s="13">
        <v>7.7290000000000001</v>
      </c>
      <c r="I16" s="9">
        <v>0</v>
      </c>
      <c r="J16" s="4">
        <v>6</v>
      </c>
      <c r="K16" s="13">
        <v>12.189</v>
      </c>
      <c r="L16" s="9">
        <v>0</v>
      </c>
      <c r="M16" s="4">
        <v>6</v>
      </c>
      <c r="N16" s="13">
        <v>3.0569999999999999</v>
      </c>
    </row>
    <row r="17" spans="1:14" ht="15.75" thickBot="1" x14ac:dyDescent="0.3">
      <c r="A17" s="28"/>
      <c r="B17" s="3" t="s">
        <v>9</v>
      </c>
      <c r="C17" s="10">
        <v>0</v>
      </c>
      <c r="D17" s="6">
        <v>0</v>
      </c>
      <c r="E17" s="14">
        <v>32.965400000000002</v>
      </c>
      <c r="F17" s="10">
        <v>0</v>
      </c>
      <c r="G17" s="6">
        <v>8</v>
      </c>
      <c r="H17" s="14">
        <v>21.445666666666668</v>
      </c>
      <c r="I17" s="10">
        <v>0</v>
      </c>
      <c r="J17" s="6">
        <v>0</v>
      </c>
      <c r="K17" s="14">
        <v>29.049500000000002</v>
      </c>
      <c r="L17" s="10">
        <v>0</v>
      </c>
      <c r="M17" s="6">
        <v>0</v>
      </c>
      <c r="N17" s="14">
        <v>14.488</v>
      </c>
    </row>
    <row r="18" spans="1:14" x14ac:dyDescent="0.25">
      <c r="A18" s="26" t="s">
        <v>11</v>
      </c>
      <c r="B18" s="7" t="s">
        <v>5</v>
      </c>
      <c r="C18" s="8">
        <v>30</v>
      </c>
      <c r="D18" s="5">
        <v>68</v>
      </c>
      <c r="E18" s="11">
        <v>44.689400000000006</v>
      </c>
      <c r="F18" s="8">
        <v>6</v>
      </c>
      <c r="G18" s="5">
        <v>36</v>
      </c>
      <c r="H18" s="11">
        <v>51.801000000000009</v>
      </c>
      <c r="I18" s="8">
        <v>3</v>
      </c>
      <c r="J18" s="5">
        <v>7</v>
      </c>
      <c r="K18" s="11">
        <v>86.951999999999998</v>
      </c>
      <c r="L18" s="8">
        <v>0</v>
      </c>
      <c r="M18" s="5">
        <v>6</v>
      </c>
      <c r="N18" s="11">
        <v>33.594000000000001</v>
      </c>
    </row>
    <row r="19" spans="1:14" x14ac:dyDescent="0.25">
      <c r="A19" s="29"/>
      <c r="B19" s="1" t="s">
        <v>6</v>
      </c>
      <c r="C19" s="9">
        <v>0</v>
      </c>
      <c r="D19" s="4">
        <v>0</v>
      </c>
      <c r="E19" s="12">
        <v>29.6538</v>
      </c>
      <c r="F19" s="9">
        <v>0</v>
      </c>
      <c r="G19" s="4">
        <v>0</v>
      </c>
      <c r="H19" s="12">
        <v>29.847333333333335</v>
      </c>
      <c r="I19" s="9">
        <v>0</v>
      </c>
      <c r="J19" s="4">
        <v>0</v>
      </c>
      <c r="K19" s="13">
        <v>27.863500000000002</v>
      </c>
      <c r="L19" s="9">
        <v>0</v>
      </c>
      <c r="M19" s="4">
        <v>0</v>
      </c>
      <c r="N19" s="12">
        <v>20.045500000000001</v>
      </c>
    </row>
    <row r="20" spans="1:14" x14ac:dyDescent="0.25">
      <c r="A20" s="29"/>
      <c r="B20" s="1" t="s">
        <v>7</v>
      </c>
      <c r="C20" s="9">
        <v>0</v>
      </c>
      <c r="D20" s="4">
        <v>227</v>
      </c>
      <c r="E20" s="12">
        <v>88.18719999999999</v>
      </c>
      <c r="F20" s="9">
        <v>0</v>
      </c>
      <c r="G20" s="4">
        <v>60</v>
      </c>
      <c r="H20" s="12">
        <v>36.797333333333334</v>
      </c>
      <c r="I20" s="9">
        <v>0</v>
      </c>
      <c r="J20" s="4">
        <v>21</v>
      </c>
      <c r="K20" s="12">
        <v>77.701999999999998</v>
      </c>
      <c r="L20" s="9">
        <v>0</v>
      </c>
      <c r="M20" s="4">
        <v>21</v>
      </c>
      <c r="N20" s="12">
        <v>22.189499999999999</v>
      </c>
    </row>
    <row r="21" spans="1:14" x14ac:dyDescent="0.25">
      <c r="A21" s="27"/>
      <c r="B21" s="2" t="s">
        <v>8</v>
      </c>
      <c r="C21" s="9">
        <v>0</v>
      </c>
      <c r="D21" s="4">
        <v>37</v>
      </c>
      <c r="E21" s="13">
        <v>26.771800000000002</v>
      </c>
      <c r="F21" s="9">
        <v>0</v>
      </c>
      <c r="G21" s="4">
        <v>12</v>
      </c>
      <c r="H21" s="13">
        <v>16.077000000000002</v>
      </c>
      <c r="I21" s="9">
        <v>0</v>
      </c>
      <c r="J21" s="4">
        <v>15</v>
      </c>
      <c r="K21" s="12">
        <v>42.326999999999998</v>
      </c>
      <c r="L21" s="9">
        <v>0</v>
      </c>
      <c r="M21" s="4">
        <v>5</v>
      </c>
      <c r="N21" s="13">
        <v>7.3454999999999995</v>
      </c>
    </row>
    <row r="22" spans="1:14" ht="15.75" thickBot="1" x14ac:dyDescent="0.3">
      <c r="A22" s="28"/>
      <c r="B22" s="3" t="s">
        <v>9</v>
      </c>
      <c r="C22" s="10">
        <v>0</v>
      </c>
      <c r="D22" s="6">
        <v>3</v>
      </c>
      <c r="E22" s="14">
        <v>44.898600000000002</v>
      </c>
      <c r="F22" s="10">
        <v>0</v>
      </c>
      <c r="G22" s="6">
        <v>0</v>
      </c>
      <c r="H22" s="14">
        <v>31.757000000000001</v>
      </c>
      <c r="I22" s="10">
        <v>0</v>
      </c>
      <c r="J22" s="6">
        <v>0</v>
      </c>
      <c r="K22" s="14">
        <v>40.46</v>
      </c>
      <c r="L22" s="10">
        <v>0</v>
      </c>
      <c r="M22" s="6">
        <v>0</v>
      </c>
      <c r="N22" s="14">
        <v>16.573499999999999</v>
      </c>
    </row>
    <row r="23" spans="1:14" x14ac:dyDescent="0.25">
      <c r="A23" s="26" t="s">
        <v>12</v>
      </c>
      <c r="B23" s="7" t="s">
        <v>5</v>
      </c>
      <c r="C23" s="8">
        <v>15</v>
      </c>
      <c r="D23" s="5">
        <v>273</v>
      </c>
      <c r="E23" s="11">
        <v>157.15860000000004</v>
      </c>
      <c r="F23" s="8">
        <v>42</v>
      </c>
      <c r="G23" s="5">
        <v>110</v>
      </c>
      <c r="H23" s="11">
        <v>107.09566666666666</v>
      </c>
      <c r="I23" s="8">
        <v>4</v>
      </c>
      <c r="J23" s="5">
        <v>8</v>
      </c>
      <c r="K23" s="11">
        <v>112.268</v>
      </c>
      <c r="L23" s="8">
        <v>12</v>
      </c>
      <c r="M23" s="5">
        <v>24</v>
      </c>
      <c r="N23" s="11">
        <v>246.48149999999998</v>
      </c>
    </row>
    <row r="24" spans="1:14" x14ac:dyDescent="0.25">
      <c r="A24" s="29"/>
      <c r="B24" s="1" t="s">
        <v>6</v>
      </c>
      <c r="C24" s="9">
        <v>0</v>
      </c>
      <c r="D24" s="4">
        <v>3</v>
      </c>
      <c r="E24" s="13">
        <v>42.4148</v>
      </c>
      <c r="F24" s="9">
        <v>3</v>
      </c>
      <c r="G24" s="4">
        <v>11</v>
      </c>
      <c r="H24" s="12">
        <v>41.159666666666674</v>
      </c>
      <c r="I24" s="9">
        <v>0</v>
      </c>
      <c r="J24" s="4">
        <v>2</v>
      </c>
      <c r="K24" s="12">
        <v>69.332999999999998</v>
      </c>
      <c r="L24" s="9">
        <v>0</v>
      </c>
      <c r="M24" s="4">
        <v>2</v>
      </c>
      <c r="N24" s="12">
        <v>24.628</v>
      </c>
    </row>
    <row r="25" spans="1:14" x14ac:dyDescent="0.25">
      <c r="A25" s="29"/>
      <c r="B25" s="1" t="s">
        <v>7</v>
      </c>
      <c r="C25" s="9">
        <v>0</v>
      </c>
      <c r="D25" s="4">
        <v>236</v>
      </c>
      <c r="E25" s="12">
        <v>208.62439999999998</v>
      </c>
      <c r="F25" s="9">
        <v>0</v>
      </c>
      <c r="G25" s="4">
        <v>58</v>
      </c>
      <c r="H25" s="12">
        <v>59.111666666666672</v>
      </c>
      <c r="I25" s="9">
        <v>9</v>
      </c>
      <c r="J25" s="4">
        <v>27</v>
      </c>
      <c r="K25" s="12">
        <v>237.0025</v>
      </c>
      <c r="L25" s="9">
        <v>0</v>
      </c>
      <c r="M25" s="4">
        <v>28</v>
      </c>
      <c r="N25" s="12">
        <v>40.1</v>
      </c>
    </row>
    <row r="26" spans="1:14" x14ac:dyDescent="0.25">
      <c r="A26" s="27"/>
      <c r="B26" s="2" t="s">
        <v>8</v>
      </c>
      <c r="C26" s="9">
        <v>0</v>
      </c>
      <c r="D26" s="4">
        <v>61</v>
      </c>
      <c r="E26" s="12">
        <v>57.111599999999996</v>
      </c>
      <c r="F26" s="9">
        <v>0</v>
      </c>
      <c r="G26" s="4">
        <v>16</v>
      </c>
      <c r="H26" s="13">
        <v>33.736666666666665</v>
      </c>
      <c r="I26" s="9">
        <v>0</v>
      </c>
      <c r="J26" s="4">
        <v>13</v>
      </c>
      <c r="K26" s="12">
        <v>115.86449999999999</v>
      </c>
      <c r="L26" s="9">
        <v>0</v>
      </c>
      <c r="M26" s="4">
        <v>15</v>
      </c>
      <c r="N26" s="13">
        <v>16.868500000000001</v>
      </c>
    </row>
    <row r="27" spans="1:14" ht="15.75" thickBot="1" x14ac:dyDescent="0.3">
      <c r="A27" s="28"/>
      <c r="B27" s="3" t="s">
        <v>9</v>
      </c>
      <c r="C27" s="10">
        <v>0</v>
      </c>
      <c r="D27" s="6">
        <v>0</v>
      </c>
      <c r="E27" s="14">
        <v>73.557000000000002</v>
      </c>
      <c r="F27" s="10">
        <v>0</v>
      </c>
      <c r="G27" s="6">
        <v>0</v>
      </c>
      <c r="H27" s="14">
        <v>48.351333333333336</v>
      </c>
      <c r="I27" s="10">
        <v>0</v>
      </c>
      <c r="J27" s="6">
        <v>2</v>
      </c>
      <c r="K27" s="15">
        <v>68.578999999999994</v>
      </c>
      <c r="L27" s="10">
        <v>0</v>
      </c>
      <c r="M27" s="6">
        <v>3</v>
      </c>
      <c r="N27" s="14">
        <v>25.704999999999998</v>
      </c>
    </row>
    <row r="29" spans="1:14" x14ac:dyDescent="0.25">
      <c r="A29" t="s">
        <v>19</v>
      </c>
    </row>
    <row r="30" spans="1:14" x14ac:dyDescent="0.25">
      <c r="A30" t="s">
        <v>20</v>
      </c>
    </row>
    <row r="31" spans="1:14" x14ac:dyDescent="0.25">
      <c r="A31" t="s">
        <v>21</v>
      </c>
    </row>
    <row r="32" spans="1:14" x14ac:dyDescent="0.25">
      <c r="A32" t="s">
        <v>22</v>
      </c>
    </row>
  </sheetData>
  <mergeCells count="9">
    <mergeCell ref="A18:A22"/>
    <mergeCell ref="A23:A27"/>
    <mergeCell ref="C1:E1"/>
    <mergeCell ref="F1:H1"/>
    <mergeCell ref="I1:K1"/>
    <mergeCell ref="L1:N1"/>
    <mergeCell ref="A3:A7"/>
    <mergeCell ref="A8:A12"/>
    <mergeCell ref="A13:A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3FD2-1AC0-4DFD-B3EA-EFEC5E4B99C7}">
  <dimension ref="A1:Z32"/>
  <sheetViews>
    <sheetView workbookViewId="0">
      <selection activeCell="K22" sqref="K22"/>
    </sheetView>
  </sheetViews>
  <sheetFormatPr baseColWidth="10" defaultRowHeight="15" x14ac:dyDescent="0.25"/>
  <cols>
    <col min="3" max="14" width="9.5703125" customWidth="1"/>
  </cols>
  <sheetData>
    <row r="1" spans="1:26" ht="15.75" thickBot="1" x14ac:dyDescent="0.3">
      <c r="C1" s="30" t="s">
        <v>0</v>
      </c>
      <c r="D1" s="31"/>
      <c r="E1" s="32"/>
      <c r="F1" s="23" t="s">
        <v>13</v>
      </c>
      <c r="G1" s="24"/>
      <c r="H1" s="25"/>
      <c r="I1" s="23" t="s">
        <v>15</v>
      </c>
      <c r="J1" s="24"/>
      <c r="K1" s="25"/>
      <c r="L1" s="23" t="s">
        <v>14</v>
      </c>
      <c r="M1" s="24"/>
      <c r="N1" s="25"/>
      <c r="R1" s="19" t="s">
        <v>5</v>
      </c>
      <c r="S1" s="33" t="s">
        <v>25</v>
      </c>
      <c r="T1" s="33"/>
      <c r="U1" s="33" t="s">
        <v>26</v>
      </c>
      <c r="V1" s="33"/>
      <c r="W1" s="33" t="s">
        <v>27</v>
      </c>
      <c r="X1" s="33"/>
      <c r="Y1" s="33" t="s">
        <v>28</v>
      </c>
      <c r="Z1" s="33"/>
    </row>
    <row r="2" spans="1:26" ht="30.75" thickBot="1" x14ac:dyDescent="0.3">
      <c r="A2" s="16" t="s">
        <v>3</v>
      </c>
      <c r="B2" s="17" t="s">
        <v>2</v>
      </c>
      <c r="C2" s="18" t="s">
        <v>16</v>
      </c>
      <c r="D2" s="18" t="s">
        <v>17</v>
      </c>
      <c r="E2" s="18" t="s">
        <v>18</v>
      </c>
      <c r="F2" s="18" t="s">
        <v>16</v>
      </c>
      <c r="G2" s="18" t="s">
        <v>17</v>
      </c>
      <c r="H2" s="18" t="s">
        <v>18</v>
      </c>
      <c r="I2" s="18" t="s">
        <v>16</v>
      </c>
      <c r="J2" s="18" t="s">
        <v>17</v>
      </c>
      <c r="K2" s="18" t="s">
        <v>18</v>
      </c>
      <c r="L2" s="18" t="s">
        <v>16</v>
      </c>
      <c r="M2" s="18" t="s">
        <v>17</v>
      </c>
      <c r="N2" s="18" t="s">
        <v>18</v>
      </c>
      <c r="R2" s="22" t="s">
        <v>29</v>
      </c>
      <c r="S2" s="22" t="s">
        <v>23</v>
      </c>
      <c r="T2" s="22" t="s">
        <v>24</v>
      </c>
      <c r="U2" s="22" t="s">
        <v>23</v>
      </c>
      <c r="V2" s="22" t="s">
        <v>24</v>
      </c>
      <c r="W2" s="22" t="s">
        <v>23</v>
      </c>
      <c r="X2" s="22" t="s">
        <v>24</v>
      </c>
      <c r="Y2" s="22" t="s">
        <v>23</v>
      </c>
      <c r="Z2" s="22" t="s">
        <v>24</v>
      </c>
    </row>
    <row r="3" spans="1:26" x14ac:dyDescent="0.25">
      <c r="A3" s="26" t="s">
        <v>1</v>
      </c>
      <c r="B3" s="7" t="s">
        <v>5</v>
      </c>
      <c r="C3" s="8">
        <v>0</v>
      </c>
      <c r="D3" s="5">
        <v>15</v>
      </c>
      <c r="E3" s="11">
        <v>20.6342</v>
      </c>
      <c r="F3" s="8">
        <v>3</v>
      </c>
      <c r="G3" s="5">
        <v>17</v>
      </c>
      <c r="H3" s="11">
        <v>28.052666666666667</v>
      </c>
      <c r="I3" s="8">
        <v>0</v>
      </c>
      <c r="J3" s="5">
        <v>8</v>
      </c>
      <c r="K3" s="11">
        <v>58.119</v>
      </c>
      <c r="L3" s="8">
        <v>3</v>
      </c>
      <c r="M3" s="5">
        <v>4</v>
      </c>
      <c r="N3" s="11">
        <v>22.875500000000002</v>
      </c>
      <c r="R3" s="4">
        <v>1</v>
      </c>
      <c r="S3" s="20">
        <f>C3+D3</f>
        <v>15</v>
      </c>
      <c r="T3" s="21">
        <f>E3</f>
        <v>20.6342</v>
      </c>
      <c r="U3" s="20">
        <f>F3+G3</f>
        <v>20</v>
      </c>
      <c r="V3" s="21">
        <f>H3</f>
        <v>28.052666666666667</v>
      </c>
      <c r="W3" s="20">
        <f>I3+J3</f>
        <v>8</v>
      </c>
      <c r="X3" s="21">
        <f>K3</f>
        <v>58.119</v>
      </c>
      <c r="Y3" s="20">
        <f>L3+M3</f>
        <v>7</v>
      </c>
      <c r="Z3" s="21">
        <f>N3</f>
        <v>22.875500000000002</v>
      </c>
    </row>
    <row r="4" spans="1:26" x14ac:dyDescent="0.25">
      <c r="A4" s="27"/>
      <c r="B4" s="2" t="s">
        <v>6</v>
      </c>
      <c r="C4" s="9">
        <v>0</v>
      </c>
      <c r="D4" s="4">
        <v>8</v>
      </c>
      <c r="E4" s="12">
        <v>12.1792</v>
      </c>
      <c r="F4" s="9">
        <v>0</v>
      </c>
      <c r="G4" s="4">
        <v>0</v>
      </c>
      <c r="H4" s="12">
        <v>20.236999999999998</v>
      </c>
      <c r="I4" s="9">
        <v>0</v>
      </c>
      <c r="J4" s="4">
        <v>0</v>
      </c>
      <c r="K4" s="12">
        <v>20.944499999999998</v>
      </c>
      <c r="L4" s="9">
        <v>0</v>
      </c>
      <c r="M4" s="4">
        <v>0</v>
      </c>
      <c r="N4" s="12">
        <v>11.448499999999999</v>
      </c>
      <c r="R4" s="4">
        <v>2</v>
      </c>
      <c r="S4" s="20">
        <f>C8+D8</f>
        <v>9</v>
      </c>
      <c r="T4" s="21">
        <f>E8</f>
        <v>27.446400000000001</v>
      </c>
      <c r="U4" s="20">
        <f>F8+G8</f>
        <v>49</v>
      </c>
      <c r="V4" s="21">
        <f>H8</f>
        <v>34.238333333333337</v>
      </c>
      <c r="W4" s="20">
        <f>I8+J8</f>
        <v>8</v>
      </c>
      <c r="X4" s="21">
        <f>K8</f>
        <v>62.658999999999999</v>
      </c>
      <c r="Y4" s="20">
        <f>L8+M8</f>
        <v>21</v>
      </c>
      <c r="Z4" s="21">
        <f>N8</f>
        <v>32.042999999999999</v>
      </c>
    </row>
    <row r="5" spans="1:26" x14ac:dyDescent="0.25">
      <c r="A5" s="27"/>
      <c r="B5" s="2" t="s">
        <v>7</v>
      </c>
      <c r="C5" s="9">
        <v>0</v>
      </c>
      <c r="D5" s="4">
        <v>188</v>
      </c>
      <c r="E5" s="12">
        <v>12.6266</v>
      </c>
      <c r="F5" s="9">
        <v>0</v>
      </c>
      <c r="G5" s="4">
        <v>57</v>
      </c>
      <c r="H5" s="12">
        <v>10.080999999999998</v>
      </c>
      <c r="I5" s="9">
        <v>0</v>
      </c>
      <c r="J5" s="4">
        <v>22</v>
      </c>
      <c r="K5" s="12">
        <v>25.102499999999999</v>
      </c>
      <c r="L5" s="9">
        <v>0</v>
      </c>
      <c r="M5" s="4">
        <v>10</v>
      </c>
      <c r="N5" s="12">
        <v>4.3209999999999997</v>
      </c>
      <c r="R5" s="4">
        <v>3</v>
      </c>
      <c r="S5" s="20">
        <f>C13+D13</f>
        <v>60</v>
      </c>
      <c r="T5" s="21">
        <f>E13</f>
        <v>43.213000000000001</v>
      </c>
      <c r="U5" s="20">
        <f>F13+G13</f>
        <v>22</v>
      </c>
      <c r="V5" s="21">
        <f>H13</f>
        <v>32.008000000000003</v>
      </c>
      <c r="W5" s="20">
        <f>I13+J13</f>
        <v>8</v>
      </c>
      <c r="X5" s="21">
        <f>K13</f>
        <v>47.829000000000001</v>
      </c>
      <c r="Y5" s="20">
        <f>L13+M13</f>
        <v>6</v>
      </c>
      <c r="Z5" s="21">
        <f>N13</f>
        <v>25.389499999999998</v>
      </c>
    </row>
    <row r="6" spans="1:26" x14ac:dyDescent="0.25">
      <c r="A6" s="27"/>
      <c r="B6" s="2" t="s">
        <v>8</v>
      </c>
      <c r="C6" s="9">
        <v>0</v>
      </c>
      <c r="D6" s="4">
        <v>23</v>
      </c>
      <c r="E6" s="13">
        <v>2.7808000000000002</v>
      </c>
      <c r="F6" s="9">
        <v>0</v>
      </c>
      <c r="G6" s="4">
        <v>29</v>
      </c>
      <c r="H6" s="13">
        <v>7.1176666666666675</v>
      </c>
      <c r="I6" s="9">
        <v>0</v>
      </c>
      <c r="J6" s="4">
        <v>9</v>
      </c>
      <c r="K6" s="13">
        <v>8.472999999999999</v>
      </c>
      <c r="L6" s="9">
        <v>0</v>
      </c>
      <c r="M6" s="4">
        <v>4</v>
      </c>
      <c r="N6" s="13">
        <v>2.0529999999999999</v>
      </c>
      <c r="R6" s="4">
        <v>4</v>
      </c>
      <c r="S6" s="20">
        <f>C18+D18</f>
        <v>98</v>
      </c>
      <c r="T6" s="21">
        <f>E18</f>
        <v>44.689400000000006</v>
      </c>
      <c r="U6" s="20">
        <f>F18+G18</f>
        <v>42</v>
      </c>
      <c r="V6" s="21">
        <f>H18</f>
        <v>51.801000000000009</v>
      </c>
      <c r="W6" s="20">
        <f>I18+J18</f>
        <v>10</v>
      </c>
      <c r="X6" s="21">
        <f>K18</f>
        <v>86.951999999999998</v>
      </c>
      <c r="Y6" s="20">
        <f>L18+M18</f>
        <v>6</v>
      </c>
      <c r="Z6" s="21">
        <f>N18</f>
        <v>33.594000000000001</v>
      </c>
    </row>
    <row r="7" spans="1:26" ht="15.75" thickBot="1" x14ac:dyDescent="0.3">
      <c r="A7" s="28"/>
      <c r="B7" s="3" t="s">
        <v>9</v>
      </c>
      <c r="C7" s="10">
        <v>0</v>
      </c>
      <c r="D7" s="6">
        <v>9</v>
      </c>
      <c r="E7" s="14">
        <v>14.234599999999997</v>
      </c>
      <c r="F7" s="10">
        <v>0</v>
      </c>
      <c r="G7" s="6">
        <v>1</v>
      </c>
      <c r="H7" s="14">
        <v>20.726666666666667</v>
      </c>
      <c r="I7" s="10">
        <v>0</v>
      </c>
      <c r="J7" s="6">
        <v>0</v>
      </c>
      <c r="K7" s="14">
        <v>20.797499999999999</v>
      </c>
      <c r="L7" s="10">
        <v>0</v>
      </c>
      <c r="M7" s="6">
        <v>6</v>
      </c>
      <c r="N7" s="14">
        <v>15.43</v>
      </c>
      <c r="R7" s="4">
        <v>5</v>
      </c>
      <c r="S7" s="20">
        <f>C23+D23</f>
        <v>288</v>
      </c>
      <c r="T7" s="21">
        <f>E23</f>
        <v>157.15860000000004</v>
      </c>
      <c r="U7" s="20">
        <f>F23+G23</f>
        <v>152</v>
      </c>
      <c r="V7" s="21">
        <f>H23</f>
        <v>107.09566666666666</v>
      </c>
      <c r="W7" s="20">
        <f>I23+J23</f>
        <v>12</v>
      </c>
      <c r="X7" s="21">
        <f>K23</f>
        <v>112.268</v>
      </c>
      <c r="Y7" s="20">
        <f>L23+M23</f>
        <v>36</v>
      </c>
      <c r="Z7" s="21">
        <f>N23</f>
        <v>246.48149999999998</v>
      </c>
    </row>
    <row r="8" spans="1:26" x14ac:dyDescent="0.25">
      <c r="A8" s="26" t="s">
        <v>4</v>
      </c>
      <c r="B8" s="7" t="s">
        <v>5</v>
      </c>
      <c r="C8" s="8">
        <v>0</v>
      </c>
      <c r="D8" s="5">
        <v>9</v>
      </c>
      <c r="E8" s="11">
        <v>27.446400000000001</v>
      </c>
      <c r="F8" s="8">
        <v>15</v>
      </c>
      <c r="G8" s="5">
        <v>34</v>
      </c>
      <c r="H8" s="11">
        <v>34.238333333333337</v>
      </c>
      <c r="I8" s="8">
        <v>0</v>
      </c>
      <c r="J8" s="5">
        <v>8</v>
      </c>
      <c r="K8" s="11">
        <v>62.658999999999999</v>
      </c>
      <c r="L8" s="8">
        <v>6</v>
      </c>
      <c r="M8" s="5">
        <v>15</v>
      </c>
      <c r="N8" s="11">
        <v>32.042999999999999</v>
      </c>
    </row>
    <row r="9" spans="1:26" x14ac:dyDescent="0.25">
      <c r="A9" s="29"/>
      <c r="B9" s="1" t="s">
        <v>6</v>
      </c>
      <c r="C9" s="9">
        <v>0</v>
      </c>
      <c r="D9" s="4">
        <v>0</v>
      </c>
      <c r="E9" s="12">
        <v>18.651800000000001</v>
      </c>
      <c r="F9" s="9">
        <v>0</v>
      </c>
      <c r="G9" s="4">
        <v>0</v>
      </c>
      <c r="H9" s="12">
        <v>18.156333333333333</v>
      </c>
      <c r="I9" s="9">
        <v>0</v>
      </c>
      <c r="J9" s="4">
        <v>0</v>
      </c>
      <c r="K9" s="12">
        <v>18.381499999999999</v>
      </c>
      <c r="L9" s="9">
        <v>0</v>
      </c>
      <c r="M9" s="4">
        <v>0</v>
      </c>
      <c r="N9" s="12">
        <v>11.061500000000001</v>
      </c>
    </row>
    <row r="10" spans="1:26" x14ac:dyDescent="0.25">
      <c r="A10" s="29"/>
      <c r="B10" s="1" t="s">
        <v>7</v>
      </c>
      <c r="C10" s="9">
        <v>0</v>
      </c>
      <c r="D10" s="4">
        <v>201</v>
      </c>
      <c r="E10" s="12">
        <v>28.727800000000002</v>
      </c>
      <c r="F10" s="9">
        <v>0</v>
      </c>
      <c r="G10" s="4">
        <v>61</v>
      </c>
      <c r="H10" s="12">
        <v>11.328666666666669</v>
      </c>
      <c r="I10" s="9">
        <v>0</v>
      </c>
      <c r="J10" s="4">
        <v>21</v>
      </c>
      <c r="K10" s="12">
        <v>28.16</v>
      </c>
      <c r="L10" s="9">
        <v>0</v>
      </c>
      <c r="M10" s="4">
        <v>28</v>
      </c>
      <c r="N10" s="12">
        <v>10.3855</v>
      </c>
    </row>
    <row r="11" spans="1:26" x14ac:dyDescent="0.25">
      <c r="A11" s="27"/>
      <c r="B11" s="2" t="s">
        <v>8</v>
      </c>
      <c r="C11" s="9">
        <v>0</v>
      </c>
      <c r="D11" s="4">
        <v>19</v>
      </c>
      <c r="E11" s="13">
        <v>6.8275999999999994</v>
      </c>
      <c r="F11" s="9">
        <v>0</v>
      </c>
      <c r="G11" s="4">
        <v>42</v>
      </c>
      <c r="H11" s="13">
        <v>10.239333333333333</v>
      </c>
      <c r="I11" s="9">
        <v>0</v>
      </c>
      <c r="J11" s="4">
        <v>6</v>
      </c>
      <c r="K11" s="13">
        <v>8.6060000000000016</v>
      </c>
      <c r="L11" s="9">
        <v>0</v>
      </c>
      <c r="M11" s="4">
        <v>1</v>
      </c>
      <c r="N11" s="13">
        <v>2.246</v>
      </c>
    </row>
    <row r="12" spans="1:26" ht="15.75" thickBot="1" x14ac:dyDescent="0.3">
      <c r="A12" s="28"/>
      <c r="B12" s="3" t="s">
        <v>9</v>
      </c>
      <c r="C12" s="10">
        <v>0</v>
      </c>
      <c r="D12" s="6">
        <v>0</v>
      </c>
      <c r="E12" s="14">
        <v>24.289399999999997</v>
      </c>
      <c r="F12" s="10">
        <v>0</v>
      </c>
      <c r="G12" s="6">
        <v>3</v>
      </c>
      <c r="H12" s="14">
        <v>18.475000000000001</v>
      </c>
      <c r="I12" s="10">
        <v>0</v>
      </c>
      <c r="J12" s="6">
        <v>0</v>
      </c>
      <c r="K12" s="14">
        <v>24.878999999999998</v>
      </c>
      <c r="L12" s="10">
        <v>0</v>
      </c>
      <c r="M12" s="6">
        <v>0</v>
      </c>
      <c r="N12" s="14">
        <v>12.811</v>
      </c>
    </row>
    <row r="13" spans="1:26" x14ac:dyDescent="0.25">
      <c r="A13" s="26" t="s">
        <v>10</v>
      </c>
      <c r="B13" s="7" t="s">
        <v>5</v>
      </c>
      <c r="C13" s="8">
        <v>21</v>
      </c>
      <c r="D13" s="5">
        <v>39</v>
      </c>
      <c r="E13" s="11">
        <v>43.213000000000001</v>
      </c>
      <c r="F13" s="8">
        <v>0</v>
      </c>
      <c r="G13" s="5">
        <v>22</v>
      </c>
      <c r="H13" s="11">
        <v>32.008000000000003</v>
      </c>
      <c r="I13" s="8">
        <v>4</v>
      </c>
      <c r="J13" s="5">
        <v>4</v>
      </c>
      <c r="K13" s="11">
        <v>47.829000000000001</v>
      </c>
      <c r="L13" s="8">
        <v>0</v>
      </c>
      <c r="M13" s="5">
        <v>6</v>
      </c>
      <c r="N13" s="11">
        <v>25.389499999999998</v>
      </c>
    </row>
    <row r="14" spans="1:26" x14ac:dyDescent="0.25">
      <c r="A14" s="29"/>
      <c r="B14" s="1" t="s">
        <v>6</v>
      </c>
      <c r="C14" s="9">
        <v>0</v>
      </c>
      <c r="D14" s="4">
        <v>0</v>
      </c>
      <c r="E14" s="12">
        <v>23.866999999999997</v>
      </c>
      <c r="F14" s="9">
        <v>0</v>
      </c>
      <c r="G14" s="4">
        <v>0</v>
      </c>
      <c r="H14" s="12">
        <v>21.609666666666669</v>
      </c>
      <c r="I14" s="9">
        <v>0</v>
      </c>
      <c r="J14" s="4">
        <v>0</v>
      </c>
      <c r="K14" s="12">
        <v>21.009</v>
      </c>
      <c r="L14" s="9">
        <v>0</v>
      </c>
      <c r="M14" s="4">
        <v>0</v>
      </c>
      <c r="N14" s="12">
        <v>12.815</v>
      </c>
    </row>
    <row r="15" spans="1:26" x14ac:dyDescent="0.25">
      <c r="A15" s="29"/>
      <c r="B15" s="1" t="s">
        <v>7</v>
      </c>
      <c r="C15" s="9">
        <v>0</v>
      </c>
      <c r="D15" s="4">
        <v>201</v>
      </c>
      <c r="E15" s="12">
        <v>44.3902</v>
      </c>
      <c r="F15" s="9">
        <v>0</v>
      </c>
      <c r="G15" s="4">
        <v>53</v>
      </c>
      <c r="H15" s="12">
        <v>13.688666666666668</v>
      </c>
      <c r="I15" s="9">
        <v>0</v>
      </c>
      <c r="J15" s="4">
        <v>27</v>
      </c>
      <c r="K15" s="12">
        <v>60.691500000000005</v>
      </c>
      <c r="L15" s="9">
        <v>0</v>
      </c>
      <c r="M15" s="4">
        <v>15</v>
      </c>
      <c r="N15" s="12">
        <v>8.838000000000001</v>
      </c>
    </row>
    <row r="16" spans="1:26" x14ac:dyDescent="0.25">
      <c r="A16" s="27"/>
      <c r="B16" s="2" t="s">
        <v>8</v>
      </c>
      <c r="C16" s="9">
        <v>0</v>
      </c>
      <c r="D16" s="4">
        <v>30</v>
      </c>
      <c r="E16" s="13">
        <v>11.812200000000001</v>
      </c>
      <c r="F16" s="9">
        <v>0</v>
      </c>
      <c r="G16" s="4">
        <v>20</v>
      </c>
      <c r="H16" s="13">
        <v>7.7290000000000001</v>
      </c>
      <c r="I16" s="9">
        <v>0</v>
      </c>
      <c r="J16" s="4">
        <v>6</v>
      </c>
      <c r="K16" s="13">
        <v>12.189</v>
      </c>
      <c r="L16" s="9">
        <v>0</v>
      </c>
      <c r="M16" s="4">
        <v>6</v>
      </c>
      <c r="N16" s="13">
        <v>3.0569999999999999</v>
      </c>
    </row>
    <row r="17" spans="1:14" ht="15.75" thickBot="1" x14ac:dyDescent="0.3">
      <c r="A17" s="28"/>
      <c r="B17" s="3" t="s">
        <v>9</v>
      </c>
      <c r="C17" s="10">
        <v>0</v>
      </c>
      <c r="D17" s="6">
        <v>0</v>
      </c>
      <c r="E17" s="14">
        <v>32.965400000000002</v>
      </c>
      <c r="F17" s="10">
        <v>0</v>
      </c>
      <c r="G17" s="6">
        <v>8</v>
      </c>
      <c r="H17" s="14">
        <v>21.445666666666668</v>
      </c>
      <c r="I17" s="10">
        <v>0</v>
      </c>
      <c r="J17" s="6">
        <v>0</v>
      </c>
      <c r="K17" s="14">
        <v>29.049500000000002</v>
      </c>
      <c r="L17" s="10">
        <v>0</v>
      </c>
      <c r="M17" s="6">
        <v>0</v>
      </c>
      <c r="N17" s="14">
        <v>14.488</v>
      </c>
    </row>
    <row r="18" spans="1:14" x14ac:dyDescent="0.25">
      <c r="A18" s="26" t="s">
        <v>11</v>
      </c>
      <c r="B18" s="7" t="s">
        <v>5</v>
      </c>
      <c r="C18" s="8">
        <v>30</v>
      </c>
      <c r="D18" s="5">
        <v>68</v>
      </c>
      <c r="E18" s="11">
        <v>44.689400000000006</v>
      </c>
      <c r="F18" s="8">
        <v>6</v>
      </c>
      <c r="G18" s="5">
        <v>36</v>
      </c>
      <c r="H18" s="11">
        <v>51.801000000000009</v>
      </c>
      <c r="I18" s="8">
        <v>3</v>
      </c>
      <c r="J18" s="5">
        <v>7</v>
      </c>
      <c r="K18" s="11">
        <v>86.951999999999998</v>
      </c>
      <c r="L18" s="8">
        <v>0</v>
      </c>
      <c r="M18" s="5">
        <v>6</v>
      </c>
      <c r="N18" s="11">
        <v>33.594000000000001</v>
      </c>
    </row>
    <row r="19" spans="1:14" x14ac:dyDescent="0.25">
      <c r="A19" s="29"/>
      <c r="B19" s="1" t="s">
        <v>6</v>
      </c>
      <c r="C19" s="9">
        <v>0</v>
      </c>
      <c r="D19" s="4">
        <v>0</v>
      </c>
      <c r="E19" s="12">
        <v>29.6538</v>
      </c>
      <c r="F19" s="9">
        <v>0</v>
      </c>
      <c r="G19" s="4">
        <v>0</v>
      </c>
      <c r="H19" s="12">
        <v>29.847333333333335</v>
      </c>
      <c r="I19" s="9">
        <v>0</v>
      </c>
      <c r="J19" s="4">
        <v>0</v>
      </c>
      <c r="K19" s="13">
        <v>27.863500000000002</v>
      </c>
      <c r="L19" s="9">
        <v>0</v>
      </c>
      <c r="M19" s="4">
        <v>0</v>
      </c>
      <c r="N19" s="12">
        <v>20.045500000000001</v>
      </c>
    </row>
    <row r="20" spans="1:14" x14ac:dyDescent="0.25">
      <c r="A20" s="29"/>
      <c r="B20" s="1" t="s">
        <v>7</v>
      </c>
      <c r="C20" s="9">
        <v>0</v>
      </c>
      <c r="D20" s="4">
        <v>227</v>
      </c>
      <c r="E20" s="12">
        <v>88.18719999999999</v>
      </c>
      <c r="F20" s="9">
        <v>0</v>
      </c>
      <c r="G20" s="4">
        <v>60</v>
      </c>
      <c r="H20" s="12">
        <v>36.797333333333334</v>
      </c>
      <c r="I20" s="9">
        <v>0</v>
      </c>
      <c r="J20" s="4">
        <v>21</v>
      </c>
      <c r="K20" s="12">
        <v>77.701999999999998</v>
      </c>
      <c r="L20" s="9">
        <v>0</v>
      </c>
      <c r="M20" s="4">
        <v>21</v>
      </c>
      <c r="N20" s="12">
        <v>22.189499999999999</v>
      </c>
    </row>
    <row r="21" spans="1:14" x14ac:dyDescent="0.25">
      <c r="A21" s="27"/>
      <c r="B21" s="2" t="s">
        <v>8</v>
      </c>
      <c r="C21" s="9">
        <v>0</v>
      </c>
      <c r="D21" s="4">
        <v>37</v>
      </c>
      <c r="E21" s="13">
        <v>26.771800000000002</v>
      </c>
      <c r="F21" s="9">
        <v>0</v>
      </c>
      <c r="G21" s="4">
        <v>12</v>
      </c>
      <c r="H21" s="13">
        <v>16.077000000000002</v>
      </c>
      <c r="I21" s="9">
        <v>0</v>
      </c>
      <c r="J21" s="4">
        <v>15</v>
      </c>
      <c r="K21" s="12">
        <v>42.326999999999998</v>
      </c>
      <c r="L21" s="9">
        <v>0</v>
      </c>
      <c r="M21" s="4">
        <v>5</v>
      </c>
      <c r="N21" s="13">
        <v>7.3454999999999995</v>
      </c>
    </row>
    <row r="22" spans="1:14" ht="15.75" thickBot="1" x14ac:dyDescent="0.3">
      <c r="A22" s="28"/>
      <c r="B22" s="3" t="s">
        <v>9</v>
      </c>
      <c r="C22" s="10">
        <v>0</v>
      </c>
      <c r="D22" s="6">
        <v>3</v>
      </c>
      <c r="E22" s="14">
        <v>44.898600000000002</v>
      </c>
      <c r="F22" s="10">
        <v>0</v>
      </c>
      <c r="G22" s="6">
        <v>0</v>
      </c>
      <c r="H22" s="14">
        <v>31.757000000000001</v>
      </c>
      <c r="I22" s="10">
        <v>0</v>
      </c>
      <c r="J22" s="6">
        <v>0</v>
      </c>
      <c r="K22" s="14">
        <v>40.46</v>
      </c>
      <c r="L22" s="10">
        <v>0</v>
      </c>
      <c r="M22" s="6">
        <v>0</v>
      </c>
      <c r="N22" s="14">
        <v>16.573499999999999</v>
      </c>
    </row>
    <row r="23" spans="1:14" x14ac:dyDescent="0.25">
      <c r="A23" s="26" t="s">
        <v>12</v>
      </c>
      <c r="B23" s="7" t="s">
        <v>5</v>
      </c>
      <c r="C23" s="8">
        <v>15</v>
      </c>
      <c r="D23" s="5">
        <v>273</v>
      </c>
      <c r="E23" s="11">
        <v>157.15860000000004</v>
      </c>
      <c r="F23" s="8">
        <v>42</v>
      </c>
      <c r="G23" s="5">
        <v>110</v>
      </c>
      <c r="H23" s="11">
        <v>107.09566666666666</v>
      </c>
      <c r="I23" s="8">
        <v>4</v>
      </c>
      <c r="J23" s="5">
        <v>8</v>
      </c>
      <c r="K23" s="11">
        <v>112.268</v>
      </c>
      <c r="L23" s="8">
        <v>12</v>
      </c>
      <c r="M23" s="5">
        <v>24</v>
      </c>
      <c r="N23" s="11">
        <v>246.48149999999998</v>
      </c>
    </row>
    <row r="24" spans="1:14" x14ac:dyDescent="0.25">
      <c r="A24" s="29"/>
      <c r="B24" s="1" t="s">
        <v>6</v>
      </c>
      <c r="C24" s="9">
        <v>0</v>
      </c>
      <c r="D24" s="4">
        <v>3</v>
      </c>
      <c r="E24" s="13">
        <v>42.4148</v>
      </c>
      <c r="F24" s="9">
        <v>3</v>
      </c>
      <c r="G24" s="4">
        <v>11</v>
      </c>
      <c r="H24" s="12">
        <v>41.159666666666674</v>
      </c>
      <c r="I24" s="9">
        <v>0</v>
      </c>
      <c r="J24" s="4">
        <v>2</v>
      </c>
      <c r="K24" s="12">
        <v>69.332999999999998</v>
      </c>
      <c r="L24" s="9">
        <v>0</v>
      </c>
      <c r="M24" s="4">
        <v>2</v>
      </c>
      <c r="N24" s="12">
        <v>24.628</v>
      </c>
    </row>
    <row r="25" spans="1:14" x14ac:dyDescent="0.25">
      <c r="A25" s="29"/>
      <c r="B25" s="1" t="s">
        <v>7</v>
      </c>
      <c r="C25" s="9">
        <v>0</v>
      </c>
      <c r="D25" s="4">
        <v>236</v>
      </c>
      <c r="E25" s="12">
        <v>208.62439999999998</v>
      </c>
      <c r="F25" s="9">
        <v>0</v>
      </c>
      <c r="G25" s="4">
        <v>58</v>
      </c>
      <c r="H25" s="12">
        <v>59.111666666666672</v>
      </c>
      <c r="I25" s="9">
        <v>9</v>
      </c>
      <c r="J25" s="4">
        <v>27</v>
      </c>
      <c r="K25" s="12">
        <v>237.0025</v>
      </c>
      <c r="L25" s="9">
        <v>0</v>
      </c>
      <c r="M25" s="4">
        <v>28</v>
      </c>
      <c r="N25" s="12">
        <v>40.1</v>
      </c>
    </row>
    <row r="26" spans="1:14" x14ac:dyDescent="0.25">
      <c r="A26" s="27"/>
      <c r="B26" s="2" t="s">
        <v>8</v>
      </c>
      <c r="C26" s="9">
        <v>0</v>
      </c>
      <c r="D26" s="4">
        <v>61</v>
      </c>
      <c r="E26" s="12">
        <v>57.111599999999996</v>
      </c>
      <c r="F26" s="9">
        <v>0</v>
      </c>
      <c r="G26" s="4">
        <v>16</v>
      </c>
      <c r="H26" s="13">
        <v>33.736666666666665</v>
      </c>
      <c r="I26" s="9">
        <v>0</v>
      </c>
      <c r="J26" s="4">
        <v>13</v>
      </c>
      <c r="K26" s="12">
        <v>115.86449999999999</v>
      </c>
      <c r="L26" s="9">
        <v>0</v>
      </c>
      <c r="M26" s="4">
        <v>15</v>
      </c>
      <c r="N26" s="13">
        <v>16.868500000000001</v>
      </c>
    </row>
    <row r="27" spans="1:14" ht="15.75" thickBot="1" x14ac:dyDescent="0.3">
      <c r="A27" s="28"/>
      <c r="B27" s="3" t="s">
        <v>9</v>
      </c>
      <c r="C27" s="10">
        <v>0</v>
      </c>
      <c r="D27" s="6">
        <v>0</v>
      </c>
      <c r="E27" s="14">
        <v>73.557000000000002</v>
      </c>
      <c r="F27" s="10">
        <v>0</v>
      </c>
      <c r="G27" s="6">
        <v>0</v>
      </c>
      <c r="H27" s="14">
        <v>48.351333333333336</v>
      </c>
      <c r="I27" s="10">
        <v>0</v>
      </c>
      <c r="J27" s="6">
        <v>2</v>
      </c>
      <c r="K27" s="15">
        <v>68.578999999999994</v>
      </c>
      <c r="L27" s="10">
        <v>0</v>
      </c>
      <c r="M27" s="6">
        <v>3</v>
      </c>
      <c r="N27" s="14">
        <v>25.704999999999998</v>
      </c>
    </row>
    <row r="29" spans="1:14" x14ac:dyDescent="0.25">
      <c r="A29" t="s">
        <v>19</v>
      </c>
    </row>
    <row r="30" spans="1:14" x14ac:dyDescent="0.25">
      <c r="A30" t="s">
        <v>20</v>
      </c>
    </row>
    <row r="31" spans="1:14" x14ac:dyDescent="0.25">
      <c r="A31" t="s">
        <v>21</v>
      </c>
    </row>
    <row r="32" spans="1:14" x14ac:dyDescent="0.25">
      <c r="A32" t="s">
        <v>22</v>
      </c>
    </row>
  </sheetData>
  <mergeCells count="13">
    <mergeCell ref="U1:V1"/>
    <mergeCell ref="W1:X1"/>
    <mergeCell ref="Y1:Z1"/>
    <mergeCell ref="A8:A12"/>
    <mergeCell ref="A13:A17"/>
    <mergeCell ref="A18:A22"/>
    <mergeCell ref="A23:A27"/>
    <mergeCell ref="S1:T1"/>
    <mergeCell ref="F1:H1"/>
    <mergeCell ref="I1:K1"/>
    <mergeCell ref="L1:N1"/>
    <mergeCell ref="C1:E1"/>
    <mergeCell ref="A3:A7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AF15-164F-47A0-BED2-5B21B833CB5A}">
  <dimension ref="A1:Z32"/>
  <sheetViews>
    <sheetView workbookViewId="0">
      <selection activeCell="K22" sqref="K22"/>
    </sheetView>
  </sheetViews>
  <sheetFormatPr baseColWidth="10" defaultRowHeight="15" x14ac:dyDescent="0.25"/>
  <cols>
    <col min="3" max="14" width="9.5703125" customWidth="1"/>
  </cols>
  <sheetData>
    <row r="1" spans="1:26" ht="15.75" thickBot="1" x14ac:dyDescent="0.3">
      <c r="C1" s="30" t="s">
        <v>0</v>
      </c>
      <c r="D1" s="31"/>
      <c r="E1" s="32"/>
      <c r="F1" s="23" t="s">
        <v>13</v>
      </c>
      <c r="G1" s="24"/>
      <c r="H1" s="25"/>
      <c r="I1" s="23" t="s">
        <v>15</v>
      </c>
      <c r="J1" s="24"/>
      <c r="K1" s="25"/>
      <c r="L1" s="23" t="s">
        <v>14</v>
      </c>
      <c r="M1" s="24"/>
      <c r="N1" s="25"/>
      <c r="R1" s="19" t="s">
        <v>6</v>
      </c>
      <c r="S1" s="33" t="s">
        <v>25</v>
      </c>
      <c r="T1" s="33"/>
      <c r="U1" s="33" t="s">
        <v>26</v>
      </c>
      <c r="V1" s="33"/>
      <c r="W1" s="33" t="s">
        <v>27</v>
      </c>
      <c r="X1" s="33"/>
      <c r="Y1" s="33" t="s">
        <v>28</v>
      </c>
      <c r="Z1" s="33"/>
    </row>
    <row r="2" spans="1:26" ht="30.75" thickBot="1" x14ac:dyDescent="0.3">
      <c r="A2" s="16" t="s">
        <v>3</v>
      </c>
      <c r="B2" s="17" t="s">
        <v>2</v>
      </c>
      <c r="C2" s="18" t="s">
        <v>16</v>
      </c>
      <c r="D2" s="18" t="s">
        <v>17</v>
      </c>
      <c r="E2" s="18" t="s">
        <v>18</v>
      </c>
      <c r="F2" s="18" t="s">
        <v>16</v>
      </c>
      <c r="G2" s="18" t="s">
        <v>17</v>
      </c>
      <c r="H2" s="18" t="s">
        <v>18</v>
      </c>
      <c r="I2" s="18" t="s">
        <v>16</v>
      </c>
      <c r="J2" s="18" t="s">
        <v>17</v>
      </c>
      <c r="K2" s="18" t="s">
        <v>18</v>
      </c>
      <c r="L2" s="18" t="s">
        <v>16</v>
      </c>
      <c r="M2" s="18" t="s">
        <v>17</v>
      </c>
      <c r="N2" s="18" t="s">
        <v>18</v>
      </c>
      <c r="R2" s="22" t="s">
        <v>29</v>
      </c>
      <c r="S2" s="22" t="s">
        <v>23</v>
      </c>
      <c r="T2" s="22" t="s">
        <v>24</v>
      </c>
      <c r="U2" s="22" t="s">
        <v>23</v>
      </c>
      <c r="V2" s="22" t="s">
        <v>24</v>
      </c>
      <c r="W2" s="22" t="s">
        <v>23</v>
      </c>
      <c r="X2" s="22" t="s">
        <v>24</v>
      </c>
      <c r="Y2" s="22" t="s">
        <v>23</v>
      </c>
      <c r="Z2" s="22" t="s">
        <v>24</v>
      </c>
    </row>
    <row r="3" spans="1:26" x14ac:dyDescent="0.25">
      <c r="A3" s="26" t="s">
        <v>1</v>
      </c>
      <c r="B3" s="7" t="s">
        <v>5</v>
      </c>
      <c r="C3" s="8">
        <v>0</v>
      </c>
      <c r="D3" s="5">
        <v>15</v>
      </c>
      <c r="E3" s="11">
        <v>20.6342</v>
      </c>
      <c r="F3" s="8">
        <v>3</v>
      </c>
      <c r="G3" s="5">
        <v>17</v>
      </c>
      <c r="H3" s="11">
        <v>28.052666666666667</v>
      </c>
      <c r="I3" s="8">
        <v>0</v>
      </c>
      <c r="J3" s="5">
        <v>8</v>
      </c>
      <c r="K3" s="11">
        <v>58.119</v>
      </c>
      <c r="L3" s="8">
        <v>3</v>
      </c>
      <c r="M3" s="5">
        <v>4</v>
      </c>
      <c r="N3" s="11">
        <v>22.875500000000002</v>
      </c>
      <c r="R3" s="4">
        <v>1</v>
      </c>
      <c r="S3" s="20">
        <f>C4+D4</f>
        <v>8</v>
      </c>
      <c r="T3" s="21">
        <f>E4</f>
        <v>12.1792</v>
      </c>
      <c r="U3" s="20">
        <f>F4+G4</f>
        <v>0</v>
      </c>
      <c r="V3" s="21">
        <f>H4</f>
        <v>20.236999999999998</v>
      </c>
      <c r="W3" s="20">
        <f>I4+J4</f>
        <v>0</v>
      </c>
      <c r="X3" s="21">
        <f>K4</f>
        <v>20.944499999999998</v>
      </c>
      <c r="Y3" s="20">
        <f>L4+M4</f>
        <v>0</v>
      </c>
      <c r="Z3" s="21">
        <f>N4</f>
        <v>11.448499999999999</v>
      </c>
    </row>
    <row r="4" spans="1:26" x14ac:dyDescent="0.25">
      <c r="A4" s="27"/>
      <c r="B4" s="2" t="s">
        <v>6</v>
      </c>
      <c r="C4" s="9">
        <v>0</v>
      </c>
      <c r="D4" s="4">
        <v>8</v>
      </c>
      <c r="E4" s="12">
        <v>12.1792</v>
      </c>
      <c r="F4" s="9">
        <v>0</v>
      </c>
      <c r="G4" s="4">
        <v>0</v>
      </c>
      <c r="H4" s="12">
        <v>20.236999999999998</v>
      </c>
      <c r="I4" s="9">
        <v>0</v>
      </c>
      <c r="J4" s="4">
        <v>0</v>
      </c>
      <c r="K4" s="12">
        <v>20.944499999999998</v>
      </c>
      <c r="L4" s="9">
        <v>0</v>
      </c>
      <c r="M4" s="4">
        <v>0</v>
      </c>
      <c r="N4" s="12">
        <v>11.448499999999999</v>
      </c>
      <c r="R4" s="4">
        <v>2</v>
      </c>
      <c r="S4" s="20">
        <f>C9+D9</f>
        <v>0</v>
      </c>
      <c r="T4" s="21">
        <f>E9</f>
        <v>18.651800000000001</v>
      </c>
      <c r="U4" s="20">
        <f>F9+G9</f>
        <v>0</v>
      </c>
      <c r="V4" s="21">
        <f>H9</f>
        <v>18.156333333333333</v>
      </c>
      <c r="W4" s="20">
        <f>I9+J9</f>
        <v>0</v>
      </c>
      <c r="X4" s="21">
        <f>K9</f>
        <v>18.381499999999999</v>
      </c>
      <c r="Y4" s="20">
        <f>L9+M9</f>
        <v>0</v>
      </c>
      <c r="Z4" s="21">
        <f>N9</f>
        <v>11.061500000000001</v>
      </c>
    </row>
    <row r="5" spans="1:26" x14ac:dyDescent="0.25">
      <c r="A5" s="27"/>
      <c r="B5" s="2" t="s">
        <v>7</v>
      </c>
      <c r="C5" s="9">
        <v>0</v>
      </c>
      <c r="D5" s="4">
        <v>188</v>
      </c>
      <c r="E5" s="12">
        <v>12.6266</v>
      </c>
      <c r="F5" s="9">
        <v>0</v>
      </c>
      <c r="G5" s="4">
        <v>57</v>
      </c>
      <c r="H5" s="12">
        <v>10.080999999999998</v>
      </c>
      <c r="I5" s="9">
        <v>0</v>
      </c>
      <c r="J5" s="4">
        <v>22</v>
      </c>
      <c r="K5" s="12">
        <v>25.102499999999999</v>
      </c>
      <c r="L5" s="9">
        <v>0</v>
      </c>
      <c r="M5" s="4">
        <v>10</v>
      </c>
      <c r="N5" s="12">
        <v>4.3209999999999997</v>
      </c>
      <c r="R5" s="4">
        <v>3</v>
      </c>
      <c r="S5" s="20">
        <f>C14+D14</f>
        <v>0</v>
      </c>
      <c r="T5" s="21">
        <f>E14</f>
        <v>23.866999999999997</v>
      </c>
      <c r="U5" s="20">
        <f>F14+G14</f>
        <v>0</v>
      </c>
      <c r="V5" s="21">
        <f>H14</f>
        <v>21.609666666666669</v>
      </c>
      <c r="W5" s="20">
        <f>I14+J14</f>
        <v>0</v>
      </c>
      <c r="X5" s="21">
        <f>K14</f>
        <v>21.009</v>
      </c>
      <c r="Y5" s="20">
        <f>L14+M14</f>
        <v>0</v>
      </c>
      <c r="Z5" s="21">
        <f>N14</f>
        <v>12.815</v>
      </c>
    </row>
    <row r="6" spans="1:26" x14ac:dyDescent="0.25">
      <c r="A6" s="27"/>
      <c r="B6" s="2" t="s">
        <v>8</v>
      </c>
      <c r="C6" s="9">
        <v>0</v>
      </c>
      <c r="D6" s="4">
        <v>23</v>
      </c>
      <c r="E6" s="13">
        <v>2.7808000000000002</v>
      </c>
      <c r="F6" s="9">
        <v>0</v>
      </c>
      <c r="G6" s="4">
        <v>29</v>
      </c>
      <c r="H6" s="13">
        <v>7.1176666666666675</v>
      </c>
      <c r="I6" s="9">
        <v>0</v>
      </c>
      <c r="J6" s="4">
        <v>9</v>
      </c>
      <c r="K6" s="13">
        <v>8.472999999999999</v>
      </c>
      <c r="L6" s="9">
        <v>0</v>
      </c>
      <c r="M6" s="4">
        <v>4</v>
      </c>
      <c r="N6" s="13">
        <v>2.0529999999999999</v>
      </c>
      <c r="R6" s="4">
        <v>4</v>
      </c>
      <c r="S6" s="20">
        <f>C19+D19</f>
        <v>0</v>
      </c>
      <c r="T6" s="21">
        <f>E19</f>
        <v>29.6538</v>
      </c>
      <c r="U6" s="20">
        <f>F19+G19</f>
        <v>0</v>
      </c>
      <c r="V6" s="21">
        <f>H19</f>
        <v>29.847333333333335</v>
      </c>
      <c r="W6" s="20">
        <f>I19+J19</f>
        <v>0</v>
      </c>
      <c r="X6" s="21">
        <f>K19</f>
        <v>27.863500000000002</v>
      </c>
      <c r="Y6" s="20">
        <f>L19+M19</f>
        <v>0</v>
      </c>
      <c r="Z6" s="21">
        <f>N19</f>
        <v>20.045500000000001</v>
      </c>
    </row>
    <row r="7" spans="1:26" ht="15.75" thickBot="1" x14ac:dyDescent="0.3">
      <c r="A7" s="28"/>
      <c r="B7" s="3" t="s">
        <v>9</v>
      </c>
      <c r="C7" s="10">
        <v>0</v>
      </c>
      <c r="D7" s="6">
        <v>9</v>
      </c>
      <c r="E7" s="14">
        <v>14.234599999999997</v>
      </c>
      <c r="F7" s="10">
        <v>0</v>
      </c>
      <c r="G7" s="6">
        <v>1</v>
      </c>
      <c r="H7" s="14">
        <v>20.726666666666667</v>
      </c>
      <c r="I7" s="10">
        <v>0</v>
      </c>
      <c r="J7" s="6">
        <v>0</v>
      </c>
      <c r="K7" s="14">
        <v>20.797499999999999</v>
      </c>
      <c r="L7" s="10">
        <v>0</v>
      </c>
      <c r="M7" s="6">
        <v>6</v>
      </c>
      <c r="N7" s="14">
        <v>15.43</v>
      </c>
      <c r="R7" s="4">
        <v>5</v>
      </c>
      <c r="S7" s="20">
        <f>C24+D24</f>
        <v>3</v>
      </c>
      <c r="T7" s="21">
        <f>E24</f>
        <v>42.4148</v>
      </c>
      <c r="U7" s="20">
        <f>F24+G24</f>
        <v>14</v>
      </c>
      <c r="V7" s="21">
        <f>H24</f>
        <v>41.159666666666674</v>
      </c>
      <c r="W7" s="20">
        <f>I24+J24</f>
        <v>2</v>
      </c>
      <c r="X7" s="21">
        <f>K24</f>
        <v>69.332999999999998</v>
      </c>
      <c r="Y7" s="20">
        <f>L24+M24</f>
        <v>2</v>
      </c>
      <c r="Z7" s="21">
        <f>N24</f>
        <v>24.628</v>
      </c>
    </row>
    <row r="8" spans="1:26" x14ac:dyDescent="0.25">
      <c r="A8" s="26" t="s">
        <v>4</v>
      </c>
      <c r="B8" s="7" t="s">
        <v>5</v>
      </c>
      <c r="C8" s="8">
        <v>0</v>
      </c>
      <c r="D8" s="5">
        <v>9</v>
      </c>
      <c r="E8" s="11">
        <v>27.446400000000001</v>
      </c>
      <c r="F8" s="8">
        <v>15</v>
      </c>
      <c r="G8" s="5">
        <v>34</v>
      </c>
      <c r="H8" s="11">
        <v>34.238333333333337</v>
      </c>
      <c r="I8" s="8">
        <v>0</v>
      </c>
      <c r="J8" s="5">
        <v>8</v>
      </c>
      <c r="K8" s="11">
        <v>62.658999999999999</v>
      </c>
      <c r="L8" s="8">
        <v>6</v>
      </c>
      <c r="M8" s="5">
        <v>15</v>
      </c>
      <c r="N8" s="11">
        <v>32.042999999999999</v>
      </c>
    </row>
    <row r="9" spans="1:26" x14ac:dyDescent="0.25">
      <c r="A9" s="29"/>
      <c r="B9" s="1" t="s">
        <v>6</v>
      </c>
      <c r="C9" s="9">
        <v>0</v>
      </c>
      <c r="D9" s="4">
        <v>0</v>
      </c>
      <c r="E9" s="12">
        <v>18.651800000000001</v>
      </c>
      <c r="F9" s="9">
        <v>0</v>
      </c>
      <c r="G9" s="4">
        <v>0</v>
      </c>
      <c r="H9" s="12">
        <v>18.156333333333333</v>
      </c>
      <c r="I9" s="9">
        <v>0</v>
      </c>
      <c r="J9" s="4">
        <v>0</v>
      </c>
      <c r="K9" s="12">
        <v>18.381499999999999</v>
      </c>
      <c r="L9" s="9">
        <v>0</v>
      </c>
      <c r="M9" s="4">
        <v>0</v>
      </c>
      <c r="N9" s="12">
        <v>11.061500000000001</v>
      </c>
    </row>
    <row r="10" spans="1:26" x14ac:dyDescent="0.25">
      <c r="A10" s="29"/>
      <c r="B10" s="1" t="s">
        <v>7</v>
      </c>
      <c r="C10" s="9">
        <v>0</v>
      </c>
      <c r="D10" s="4">
        <v>201</v>
      </c>
      <c r="E10" s="12">
        <v>28.727800000000002</v>
      </c>
      <c r="F10" s="9">
        <v>0</v>
      </c>
      <c r="G10" s="4">
        <v>61</v>
      </c>
      <c r="H10" s="12">
        <v>11.328666666666669</v>
      </c>
      <c r="I10" s="9">
        <v>0</v>
      </c>
      <c r="J10" s="4">
        <v>21</v>
      </c>
      <c r="K10" s="12">
        <v>28.16</v>
      </c>
      <c r="L10" s="9">
        <v>0</v>
      </c>
      <c r="M10" s="4">
        <v>28</v>
      </c>
      <c r="N10" s="12">
        <v>10.3855</v>
      </c>
    </row>
    <row r="11" spans="1:26" x14ac:dyDescent="0.25">
      <c r="A11" s="27"/>
      <c r="B11" s="2" t="s">
        <v>8</v>
      </c>
      <c r="C11" s="9">
        <v>0</v>
      </c>
      <c r="D11" s="4">
        <v>19</v>
      </c>
      <c r="E11" s="13">
        <v>6.8275999999999994</v>
      </c>
      <c r="F11" s="9">
        <v>0</v>
      </c>
      <c r="G11" s="4">
        <v>42</v>
      </c>
      <c r="H11" s="13">
        <v>10.239333333333333</v>
      </c>
      <c r="I11" s="9">
        <v>0</v>
      </c>
      <c r="J11" s="4">
        <v>6</v>
      </c>
      <c r="K11" s="13">
        <v>8.6060000000000016</v>
      </c>
      <c r="L11" s="9">
        <v>0</v>
      </c>
      <c r="M11" s="4">
        <v>1</v>
      </c>
      <c r="N11" s="13">
        <v>2.246</v>
      </c>
    </row>
    <row r="12" spans="1:26" ht="15.75" thickBot="1" x14ac:dyDescent="0.3">
      <c r="A12" s="28"/>
      <c r="B12" s="3" t="s">
        <v>9</v>
      </c>
      <c r="C12" s="10">
        <v>0</v>
      </c>
      <c r="D12" s="6">
        <v>0</v>
      </c>
      <c r="E12" s="14">
        <v>24.289399999999997</v>
      </c>
      <c r="F12" s="10">
        <v>0</v>
      </c>
      <c r="G12" s="6">
        <v>3</v>
      </c>
      <c r="H12" s="14">
        <v>18.475000000000001</v>
      </c>
      <c r="I12" s="10">
        <v>0</v>
      </c>
      <c r="J12" s="6">
        <v>0</v>
      </c>
      <c r="K12" s="14">
        <v>24.878999999999998</v>
      </c>
      <c r="L12" s="10">
        <v>0</v>
      </c>
      <c r="M12" s="6">
        <v>0</v>
      </c>
      <c r="N12" s="14">
        <v>12.811</v>
      </c>
    </row>
    <row r="13" spans="1:26" x14ac:dyDescent="0.25">
      <c r="A13" s="26" t="s">
        <v>10</v>
      </c>
      <c r="B13" s="7" t="s">
        <v>5</v>
      </c>
      <c r="C13" s="8">
        <v>21</v>
      </c>
      <c r="D13" s="5">
        <v>39</v>
      </c>
      <c r="E13" s="11">
        <v>43.213000000000001</v>
      </c>
      <c r="F13" s="8">
        <v>0</v>
      </c>
      <c r="G13" s="5">
        <v>22</v>
      </c>
      <c r="H13" s="11">
        <v>32.008000000000003</v>
      </c>
      <c r="I13" s="8">
        <v>4</v>
      </c>
      <c r="J13" s="5">
        <v>4</v>
      </c>
      <c r="K13" s="11">
        <v>47.829000000000001</v>
      </c>
      <c r="L13" s="8">
        <v>0</v>
      </c>
      <c r="M13" s="5">
        <v>6</v>
      </c>
      <c r="N13" s="11">
        <v>25.389499999999998</v>
      </c>
    </row>
    <row r="14" spans="1:26" x14ac:dyDescent="0.25">
      <c r="A14" s="29"/>
      <c r="B14" s="1" t="s">
        <v>6</v>
      </c>
      <c r="C14" s="9">
        <v>0</v>
      </c>
      <c r="D14" s="4">
        <v>0</v>
      </c>
      <c r="E14" s="12">
        <v>23.866999999999997</v>
      </c>
      <c r="F14" s="9">
        <v>0</v>
      </c>
      <c r="G14" s="4">
        <v>0</v>
      </c>
      <c r="H14" s="12">
        <v>21.609666666666669</v>
      </c>
      <c r="I14" s="9">
        <v>0</v>
      </c>
      <c r="J14" s="4">
        <v>0</v>
      </c>
      <c r="K14" s="12">
        <v>21.009</v>
      </c>
      <c r="L14" s="9">
        <v>0</v>
      </c>
      <c r="M14" s="4">
        <v>0</v>
      </c>
      <c r="N14" s="12">
        <v>12.815</v>
      </c>
    </row>
    <row r="15" spans="1:26" x14ac:dyDescent="0.25">
      <c r="A15" s="29"/>
      <c r="B15" s="1" t="s">
        <v>7</v>
      </c>
      <c r="C15" s="9">
        <v>0</v>
      </c>
      <c r="D15" s="4">
        <v>201</v>
      </c>
      <c r="E15" s="12">
        <v>44.3902</v>
      </c>
      <c r="F15" s="9">
        <v>0</v>
      </c>
      <c r="G15" s="4">
        <v>53</v>
      </c>
      <c r="H15" s="12">
        <v>13.688666666666668</v>
      </c>
      <c r="I15" s="9">
        <v>0</v>
      </c>
      <c r="J15" s="4">
        <v>27</v>
      </c>
      <c r="K15" s="12">
        <v>60.691500000000005</v>
      </c>
      <c r="L15" s="9">
        <v>0</v>
      </c>
      <c r="M15" s="4">
        <v>15</v>
      </c>
      <c r="N15" s="12">
        <v>8.838000000000001</v>
      </c>
    </row>
    <row r="16" spans="1:26" x14ac:dyDescent="0.25">
      <c r="A16" s="27"/>
      <c r="B16" s="2" t="s">
        <v>8</v>
      </c>
      <c r="C16" s="9">
        <v>0</v>
      </c>
      <c r="D16" s="4">
        <v>30</v>
      </c>
      <c r="E16" s="13">
        <v>11.812200000000001</v>
      </c>
      <c r="F16" s="9">
        <v>0</v>
      </c>
      <c r="G16" s="4">
        <v>20</v>
      </c>
      <c r="H16" s="13">
        <v>7.7290000000000001</v>
      </c>
      <c r="I16" s="9">
        <v>0</v>
      </c>
      <c r="J16" s="4">
        <v>6</v>
      </c>
      <c r="K16" s="13">
        <v>12.189</v>
      </c>
      <c r="L16" s="9">
        <v>0</v>
      </c>
      <c r="M16" s="4">
        <v>6</v>
      </c>
      <c r="N16" s="13">
        <v>3.0569999999999999</v>
      </c>
    </row>
    <row r="17" spans="1:14" ht="15.75" thickBot="1" x14ac:dyDescent="0.3">
      <c r="A17" s="28"/>
      <c r="B17" s="3" t="s">
        <v>9</v>
      </c>
      <c r="C17" s="10">
        <v>0</v>
      </c>
      <c r="D17" s="6">
        <v>0</v>
      </c>
      <c r="E17" s="14">
        <v>32.965400000000002</v>
      </c>
      <c r="F17" s="10">
        <v>0</v>
      </c>
      <c r="G17" s="6">
        <v>8</v>
      </c>
      <c r="H17" s="14">
        <v>21.445666666666668</v>
      </c>
      <c r="I17" s="10">
        <v>0</v>
      </c>
      <c r="J17" s="6">
        <v>0</v>
      </c>
      <c r="K17" s="14">
        <v>29.049500000000002</v>
      </c>
      <c r="L17" s="10">
        <v>0</v>
      </c>
      <c r="M17" s="6">
        <v>0</v>
      </c>
      <c r="N17" s="14">
        <v>14.488</v>
      </c>
    </row>
    <row r="18" spans="1:14" x14ac:dyDescent="0.25">
      <c r="A18" s="26" t="s">
        <v>11</v>
      </c>
      <c r="B18" s="7" t="s">
        <v>5</v>
      </c>
      <c r="C18" s="8">
        <v>30</v>
      </c>
      <c r="D18" s="5">
        <v>68</v>
      </c>
      <c r="E18" s="11">
        <v>44.689400000000006</v>
      </c>
      <c r="F18" s="8">
        <v>6</v>
      </c>
      <c r="G18" s="5">
        <v>36</v>
      </c>
      <c r="H18" s="11">
        <v>51.801000000000009</v>
      </c>
      <c r="I18" s="8">
        <v>3</v>
      </c>
      <c r="J18" s="5">
        <v>7</v>
      </c>
      <c r="K18" s="11">
        <v>86.951999999999998</v>
      </c>
      <c r="L18" s="8">
        <v>0</v>
      </c>
      <c r="M18" s="5">
        <v>6</v>
      </c>
      <c r="N18" s="11">
        <v>33.594000000000001</v>
      </c>
    </row>
    <row r="19" spans="1:14" x14ac:dyDescent="0.25">
      <c r="A19" s="29"/>
      <c r="B19" s="1" t="s">
        <v>6</v>
      </c>
      <c r="C19" s="9">
        <v>0</v>
      </c>
      <c r="D19" s="4">
        <v>0</v>
      </c>
      <c r="E19" s="12">
        <v>29.6538</v>
      </c>
      <c r="F19" s="9">
        <v>0</v>
      </c>
      <c r="G19" s="4">
        <v>0</v>
      </c>
      <c r="H19" s="12">
        <v>29.847333333333335</v>
      </c>
      <c r="I19" s="9">
        <v>0</v>
      </c>
      <c r="J19" s="4">
        <v>0</v>
      </c>
      <c r="K19" s="13">
        <v>27.863500000000002</v>
      </c>
      <c r="L19" s="9">
        <v>0</v>
      </c>
      <c r="M19" s="4">
        <v>0</v>
      </c>
      <c r="N19" s="12">
        <v>20.045500000000001</v>
      </c>
    </row>
    <row r="20" spans="1:14" x14ac:dyDescent="0.25">
      <c r="A20" s="29"/>
      <c r="B20" s="1" t="s">
        <v>7</v>
      </c>
      <c r="C20" s="9">
        <v>0</v>
      </c>
      <c r="D20" s="4">
        <v>227</v>
      </c>
      <c r="E20" s="12">
        <v>88.18719999999999</v>
      </c>
      <c r="F20" s="9">
        <v>0</v>
      </c>
      <c r="G20" s="4">
        <v>60</v>
      </c>
      <c r="H20" s="12">
        <v>36.797333333333334</v>
      </c>
      <c r="I20" s="9">
        <v>0</v>
      </c>
      <c r="J20" s="4">
        <v>21</v>
      </c>
      <c r="K20" s="12">
        <v>77.701999999999998</v>
      </c>
      <c r="L20" s="9">
        <v>0</v>
      </c>
      <c r="M20" s="4">
        <v>21</v>
      </c>
      <c r="N20" s="12">
        <v>22.189499999999999</v>
      </c>
    </row>
    <row r="21" spans="1:14" x14ac:dyDescent="0.25">
      <c r="A21" s="27"/>
      <c r="B21" s="2" t="s">
        <v>8</v>
      </c>
      <c r="C21" s="9">
        <v>0</v>
      </c>
      <c r="D21" s="4">
        <v>37</v>
      </c>
      <c r="E21" s="13">
        <v>26.771800000000002</v>
      </c>
      <c r="F21" s="9">
        <v>0</v>
      </c>
      <c r="G21" s="4">
        <v>12</v>
      </c>
      <c r="H21" s="13">
        <v>16.077000000000002</v>
      </c>
      <c r="I21" s="9">
        <v>0</v>
      </c>
      <c r="J21" s="4">
        <v>15</v>
      </c>
      <c r="K21" s="12">
        <v>42.326999999999998</v>
      </c>
      <c r="L21" s="9">
        <v>0</v>
      </c>
      <c r="M21" s="4">
        <v>5</v>
      </c>
      <c r="N21" s="13">
        <v>7.3454999999999995</v>
      </c>
    </row>
    <row r="22" spans="1:14" ht="15.75" thickBot="1" x14ac:dyDescent="0.3">
      <c r="A22" s="28"/>
      <c r="B22" s="3" t="s">
        <v>9</v>
      </c>
      <c r="C22" s="10">
        <v>0</v>
      </c>
      <c r="D22" s="6">
        <v>3</v>
      </c>
      <c r="E22" s="14">
        <v>44.898600000000002</v>
      </c>
      <c r="F22" s="10">
        <v>0</v>
      </c>
      <c r="G22" s="6">
        <v>0</v>
      </c>
      <c r="H22" s="14">
        <v>31.757000000000001</v>
      </c>
      <c r="I22" s="10">
        <v>0</v>
      </c>
      <c r="J22" s="6">
        <v>0</v>
      </c>
      <c r="K22" s="14">
        <v>40.46</v>
      </c>
      <c r="L22" s="10">
        <v>0</v>
      </c>
      <c r="M22" s="6">
        <v>0</v>
      </c>
      <c r="N22" s="14">
        <v>16.573499999999999</v>
      </c>
    </row>
    <row r="23" spans="1:14" x14ac:dyDescent="0.25">
      <c r="A23" s="26" t="s">
        <v>12</v>
      </c>
      <c r="B23" s="7" t="s">
        <v>5</v>
      </c>
      <c r="C23" s="8">
        <v>15</v>
      </c>
      <c r="D23" s="5">
        <v>273</v>
      </c>
      <c r="E23" s="11">
        <v>157.15860000000004</v>
      </c>
      <c r="F23" s="8">
        <v>42</v>
      </c>
      <c r="G23" s="5">
        <v>110</v>
      </c>
      <c r="H23" s="11">
        <v>107.09566666666666</v>
      </c>
      <c r="I23" s="8">
        <v>4</v>
      </c>
      <c r="J23" s="5">
        <v>8</v>
      </c>
      <c r="K23" s="11">
        <v>112.268</v>
      </c>
      <c r="L23" s="8">
        <v>12</v>
      </c>
      <c r="M23" s="5">
        <v>24</v>
      </c>
      <c r="N23" s="11">
        <v>246.48149999999998</v>
      </c>
    </row>
    <row r="24" spans="1:14" x14ac:dyDescent="0.25">
      <c r="A24" s="29"/>
      <c r="B24" s="1" t="s">
        <v>6</v>
      </c>
      <c r="C24" s="9">
        <v>0</v>
      </c>
      <c r="D24" s="4">
        <v>3</v>
      </c>
      <c r="E24" s="13">
        <v>42.4148</v>
      </c>
      <c r="F24" s="9">
        <v>3</v>
      </c>
      <c r="G24" s="4">
        <v>11</v>
      </c>
      <c r="H24" s="12">
        <v>41.159666666666674</v>
      </c>
      <c r="I24" s="9">
        <v>0</v>
      </c>
      <c r="J24" s="4">
        <v>2</v>
      </c>
      <c r="K24" s="12">
        <v>69.332999999999998</v>
      </c>
      <c r="L24" s="9">
        <v>0</v>
      </c>
      <c r="M24" s="4">
        <v>2</v>
      </c>
      <c r="N24" s="12">
        <v>24.628</v>
      </c>
    </row>
    <row r="25" spans="1:14" x14ac:dyDescent="0.25">
      <c r="A25" s="29"/>
      <c r="B25" s="1" t="s">
        <v>7</v>
      </c>
      <c r="C25" s="9">
        <v>0</v>
      </c>
      <c r="D25" s="4">
        <v>236</v>
      </c>
      <c r="E25" s="12">
        <v>208.62439999999998</v>
      </c>
      <c r="F25" s="9">
        <v>0</v>
      </c>
      <c r="G25" s="4">
        <v>58</v>
      </c>
      <c r="H25" s="12">
        <v>59.111666666666672</v>
      </c>
      <c r="I25" s="9">
        <v>9</v>
      </c>
      <c r="J25" s="4">
        <v>27</v>
      </c>
      <c r="K25" s="12">
        <v>237.0025</v>
      </c>
      <c r="L25" s="9">
        <v>0</v>
      </c>
      <c r="M25" s="4">
        <v>28</v>
      </c>
      <c r="N25" s="12">
        <v>40.1</v>
      </c>
    </row>
    <row r="26" spans="1:14" x14ac:dyDescent="0.25">
      <c r="A26" s="27"/>
      <c r="B26" s="2" t="s">
        <v>8</v>
      </c>
      <c r="C26" s="9">
        <v>0</v>
      </c>
      <c r="D26" s="4">
        <v>61</v>
      </c>
      <c r="E26" s="12">
        <v>57.111599999999996</v>
      </c>
      <c r="F26" s="9">
        <v>0</v>
      </c>
      <c r="G26" s="4">
        <v>16</v>
      </c>
      <c r="H26" s="13">
        <v>33.736666666666665</v>
      </c>
      <c r="I26" s="9">
        <v>0</v>
      </c>
      <c r="J26" s="4">
        <v>13</v>
      </c>
      <c r="K26" s="12">
        <v>115.86449999999999</v>
      </c>
      <c r="L26" s="9">
        <v>0</v>
      </c>
      <c r="M26" s="4">
        <v>15</v>
      </c>
      <c r="N26" s="13">
        <v>16.868500000000001</v>
      </c>
    </row>
    <row r="27" spans="1:14" ht="15.75" thickBot="1" x14ac:dyDescent="0.3">
      <c r="A27" s="28"/>
      <c r="B27" s="3" t="s">
        <v>9</v>
      </c>
      <c r="C27" s="10">
        <v>0</v>
      </c>
      <c r="D27" s="6">
        <v>0</v>
      </c>
      <c r="E27" s="14">
        <v>73.557000000000002</v>
      </c>
      <c r="F27" s="10">
        <v>0</v>
      </c>
      <c r="G27" s="6">
        <v>0</v>
      </c>
      <c r="H27" s="14">
        <v>48.351333333333336</v>
      </c>
      <c r="I27" s="10">
        <v>0</v>
      </c>
      <c r="J27" s="6">
        <v>2</v>
      </c>
      <c r="K27" s="15">
        <v>68.578999999999994</v>
      </c>
      <c r="L27" s="10">
        <v>0</v>
      </c>
      <c r="M27" s="6">
        <v>3</v>
      </c>
      <c r="N27" s="14">
        <v>25.704999999999998</v>
      </c>
    </row>
    <row r="29" spans="1:14" x14ac:dyDescent="0.25">
      <c r="A29" t="s">
        <v>19</v>
      </c>
    </row>
    <row r="30" spans="1:14" x14ac:dyDescent="0.25">
      <c r="A30" t="s">
        <v>20</v>
      </c>
    </row>
    <row r="31" spans="1:14" x14ac:dyDescent="0.25">
      <c r="A31" t="s">
        <v>21</v>
      </c>
    </row>
    <row r="32" spans="1:14" x14ac:dyDescent="0.25">
      <c r="A32" t="s">
        <v>22</v>
      </c>
    </row>
  </sheetData>
  <mergeCells count="13">
    <mergeCell ref="A23:A27"/>
    <mergeCell ref="W1:X1"/>
    <mergeCell ref="Y1:Z1"/>
    <mergeCell ref="A3:A7"/>
    <mergeCell ref="A8:A12"/>
    <mergeCell ref="A13:A17"/>
    <mergeCell ref="A18:A22"/>
    <mergeCell ref="C1:E1"/>
    <mergeCell ref="F1:H1"/>
    <mergeCell ref="I1:K1"/>
    <mergeCell ref="L1:N1"/>
    <mergeCell ref="S1:T1"/>
    <mergeCell ref="U1:V1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3B9A-703B-4BB8-8C89-D73EA87BB4C3}">
  <dimension ref="A1:Z32"/>
  <sheetViews>
    <sheetView workbookViewId="0">
      <selection activeCell="K19" sqref="K19"/>
    </sheetView>
  </sheetViews>
  <sheetFormatPr baseColWidth="10" defaultRowHeight="15" x14ac:dyDescent="0.25"/>
  <cols>
    <col min="3" max="14" width="9.5703125" customWidth="1"/>
  </cols>
  <sheetData>
    <row r="1" spans="1:26" ht="15.75" thickBot="1" x14ac:dyDescent="0.3">
      <c r="C1" s="30" t="s">
        <v>0</v>
      </c>
      <c r="D1" s="31"/>
      <c r="E1" s="32"/>
      <c r="F1" s="23" t="s">
        <v>13</v>
      </c>
      <c r="G1" s="24"/>
      <c r="H1" s="25"/>
      <c r="I1" s="23" t="s">
        <v>15</v>
      </c>
      <c r="J1" s="24"/>
      <c r="K1" s="25"/>
      <c r="L1" s="23" t="s">
        <v>14</v>
      </c>
      <c r="M1" s="24"/>
      <c r="N1" s="25"/>
      <c r="R1" s="19" t="s">
        <v>7</v>
      </c>
      <c r="S1" s="33" t="s">
        <v>25</v>
      </c>
      <c r="T1" s="33"/>
      <c r="U1" s="33" t="s">
        <v>26</v>
      </c>
      <c r="V1" s="33"/>
      <c r="W1" s="33" t="s">
        <v>27</v>
      </c>
      <c r="X1" s="33"/>
      <c r="Y1" s="33" t="s">
        <v>28</v>
      </c>
      <c r="Z1" s="33"/>
    </row>
    <row r="2" spans="1:26" ht="30.75" thickBot="1" x14ac:dyDescent="0.3">
      <c r="A2" s="16" t="s">
        <v>3</v>
      </c>
      <c r="B2" s="17" t="s">
        <v>2</v>
      </c>
      <c r="C2" s="18" t="s">
        <v>16</v>
      </c>
      <c r="D2" s="18" t="s">
        <v>17</v>
      </c>
      <c r="E2" s="18" t="s">
        <v>18</v>
      </c>
      <c r="F2" s="18" t="s">
        <v>16</v>
      </c>
      <c r="G2" s="18" t="s">
        <v>17</v>
      </c>
      <c r="H2" s="18" t="s">
        <v>18</v>
      </c>
      <c r="I2" s="18" t="s">
        <v>16</v>
      </c>
      <c r="J2" s="18" t="s">
        <v>17</v>
      </c>
      <c r="K2" s="18" t="s">
        <v>18</v>
      </c>
      <c r="L2" s="18" t="s">
        <v>16</v>
      </c>
      <c r="M2" s="18" t="s">
        <v>17</v>
      </c>
      <c r="N2" s="18" t="s">
        <v>18</v>
      </c>
      <c r="R2" s="22" t="s">
        <v>29</v>
      </c>
      <c r="S2" s="22" t="s">
        <v>23</v>
      </c>
      <c r="T2" s="22" t="s">
        <v>24</v>
      </c>
      <c r="U2" s="22" t="s">
        <v>23</v>
      </c>
      <c r="V2" s="22" t="s">
        <v>24</v>
      </c>
      <c r="W2" s="22" t="s">
        <v>23</v>
      </c>
      <c r="X2" s="22" t="s">
        <v>24</v>
      </c>
      <c r="Y2" s="22" t="s">
        <v>23</v>
      </c>
      <c r="Z2" s="22" t="s">
        <v>24</v>
      </c>
    </row>
    <row r="3" spans="1:26" x14ac:dyDescent="0.25">
      <c r="A3" s="26" t="s">
        <v>1</v>
      </c>
      <c r="B3" s="7" t="s">
        <v>5</v>
      </c>
      <c r="C3" s="8">
        <v>0</v>
      </c>
      <c r="D3" s="5">
        <v>15</v>
      </c>
      <c r="E3" s="11">
        <v>20.6342</v>
      </c>
      <c r="F3" s="8">
        <v>3</v>
      </c>
      <c r="G3" s="5">
        <v>17</v>
      </c>
      <c r="H3" s="11">
        <v>28.052666666666667</v>
      </c>
      <c r="I3" s="8">
        <v>0</v>
      </c>
      <c r="J3" s="5">
        <v>8</v>
      </c>
      <c r="K3" s="11">
        <v>58.119</v>
      </c>
      <c r="L3" s="8">
        <v>3</v>
      </c>
      <c r="M3" s="5">
        <v>4</v>
      </c>
      <c r="N3" s="11">
        <v>22.875500000000002</v>
      </c>
      <c r="R3" s="4">
        <v>1</v>
      </c>
      <c r="S3" s="20">
        <f>C5+D5</f>
        <v>188</v>
      </c>
      <c r="T3" s="21">
        <f>E5</f>
        <v>12.6266</v>
      </c>
      <c r="U3" s="20">
        <f>F5+G5</f>
        <v>57</v>
      </c>
      <c r="V3" s="21">
        <f>H5</f>
        <v>10.080999999999998</v>
      </c>
      <c r="W3" s="20">
        <f>I5+J5</f>
        <v>22</v>
      </c>
      <c r="X3" s="21">
        <f>K5</f>
        <v>25.102499999999999</v>
      </c>
      <c r="Y3" s="20">
        <f>L5+M5</f>
        <v>10</v>
      </c>
      <c r="Z3" s="21">
        <f>N5</f>
        <v>4.3209999999999997</v>
      </c>
    </row>
    <row r="4" spans="1:26" x14ac:dyDescent="0.25">
      <c r="A4" s="27"/>
      <c r="B4" s="2" t="s">
        <v>6</v>
      </c>
      <c r="C4" s="9">
        <v>0</v>
      </c>
      <c r="D4" s="4">
        <v>8</v>
      </c>
      <c r="E4" s="12">
        <v>12.1792</v>
      </c>
      <c r="F4" s="9">
        <v>0</v>
      </c>
      <c r="G4" s="4">
        <v>0</v>
      </c>
      <c r="H4" s="12">
        <v>20.236999999999998</v>
      </c>
      <c r="I4" s="9">
        <v>0</v>
      </c>
      <c r="J4" s="4">
        <v>0</v>
      </c>
      <c r="K4" s="12">
        <v>20.944499999999998</v>
      </c>
      <c r="L4" s="9">
        <v>0</v>
      </c>
      <c r="M4" s="4">
        <v>0</v>
      </c>
      <c r="N4" s="12">
        <v>11.448499999999999</v>
      </c>
      <c r="R4" s="4">
        <v>2</v>
      </c>
      <c r="S4" s="20">
        <f>C10+D10</f>
        <v>201</v>
      </c>
      <c r="T4" s="21">
        <f>E10</f>
        <v>28.727800000000002</v>
      </c>
      <c r="U4" s="20">
        <f>F10+G10</f>
        <v>61</v>
      </c>
      <c r="V4" s="21">
        <f>H10</f>
        <v>11.328666666666669</v>
      </c>
      <c r="W4" s="20">
        <f>I10+J10</f>
        <v>21</v>
      </c>
      <c r="X4" s="21">
        <f>K10</f>
        <v>28.16</v>
      </c>
      <c r="Y4" s="20">
        <f>L10+M10</f>
        <v>28</v>
      </c>
      <c r="Z4" s="21">
        <f>N10</f>
        <v>10.3855</v>
      </c>
    </row>
    <row r="5" spans="1:26" x14ac:dyDescent="0.25">
      <c r="A5" s="27"/>
      <c r="B5" s="2" t="s">
        <v>7</v>
      </c>
      <c r="C5" s="9">
        <v>0</v>
      </c>
      <c r="D5" s="4">
        <v>188</v>
      </c>
      <c r="E5" s="12">
        <v>12.6266</v>
      </c>
      <c r="F5" s="9">
        <v>0</v>
      </c>
      <c r="G5" s="4">
        <v>57</v>
      </c>
      <c r="H5" s="12">
        <v>10.080999999999998</v>
      </c>
      <c r="I5" s="9">
        <v>0</v>
      </c>
      <c r="J5" s="4">
        <v>22</v>
      </c>
      <c r="K5" s="12">
        <v>25.102499999999999</v>
      </c>
      <c r="L5" s="9">
        <v>0</v>
      </c>
      <c r="M5" s="4">
        <v>10</v>
      </c>
      <c r="N5" s="12">
        <v>4.3209999999999997</v>
      </c>
      <c r="R5" s="4">
        <v>3</v>
      </c>
      <c r="S5" s="20">
        <f>C15+D15</f>
        <v>201</v>
      </c>
      <c r="T5" s="21">
        <f>E15</f>
        <v>44.3902</v>
      </c>
      <c r="U5" s="20">
        <f>F15+G15</f>
        <v>53</v>
      </c>
      <c r="V5" s="21">
        <f>H15</f>
        <v>13.688666666666668</v>
      </c>
      <c r="W5" s="20">
        <f>I15+J15</f>
        <v>27</v>
      </c>
      <c r="X5" s="21">
        <f>K15</f>
        <v>60.691500000000005</v>
      </c>
      <c r="Y5" s="20">
        <f>L15+M15</f>
        <v>15</v>
      </c>
      <c r="Z5" s="21">
        <f>N15</f>
        <v>8.838000000000001</v>
      </c>
    </row>
    <row r="6" spans="1:26" x14ac:dyDescent="0.25">
      <c r="A6" s="27"/>
      <c r="B6" s="2" t="s">
        <v>8</v>
      </c>
      <c r="C6" s="9">
        <v>0</v>
      </c>
      <c r="D6" s="4">
        <v>23</v>
      </c>
      <c r="E6" s="13">
        <v>2.7808000000000002</v>
      </c>
      <c r="F6" s="9">
        <v>0</v>
      </c>
      <c r="G6" s="4">
        <v>29</v>
      </c>
      <c r="H6" s="13">
        <v>7.1176666666666675</v>
      </c>
      <c r="I6" s="9">
        <v>0</v>
      </c>
      <c r="J6" s="4">
        <v>9</v>
      </c>
      <c r="K6" s="13">
        <v>8.472999999999999</v>
      </c>
      <c r="L6" s="9">
        <v>0</v>
      </c>
      <c r="M6" s="4">
        <v>4</v>
      </c>
      <c r="N6" s="13">
        <v>2.0529999999999999</v>
      </c>
      <c r="R6" s="4">
        <v>4</v>
      </c>
      <c r="S6" s="20">
        <f>C20+D20</f>
        <v>227</v>
      </c>
      <c r="T6" s="21">
        <f>E20</f>
        <v>88.18719999999999</v>
      </c>
      <c r="U6" s="20">
        <f>F20+G20</f>
        <v>60</v>
      </c>
      <c r="V6" s="21">
        <f>H20</f>
        <v>36.797333333333334</v>
      </c>
      <c r="W6" s="20">
        <f>I20+J20</f>
        <v>21</v>
      </c>
      <c r="X6" s="21">
        <f>K20</f>
        <v>77.701999999999998</v>
      </c>
      <c r="Y6" s="20">
        <f>L20+M20</f>
        <v>21</v>
      </c>
      <c r="Z6" s="21">
        <f>N20</f>
        <v>22.189499999999999</v>
      </c>
    </row>
    <row r="7" spans="1:26" ht="15.75" thickBot="1" x14ac:dyDescent="0.3">
      <c r="A7" s="28"/>
      <c r="B7" s="3" t="s">
        <v>9</v>
      </c>
      <c r="C7" s="10">
        <v>0</v>
      </c>
      <c r="D7" s="6">
        <v>9</v>
      </c>
      <c r="E7" s="14">
        <v>14.234599999999997</v>
      </c>
      <c r="F7" s="10">
        <v>0</v>
      </c>
      <c r="G7" s="6">
        <v>1</v>
      </c>
      <c r="H7" s="14">
        <v>20.726666666666667</v>
      </c>
      <c r="I7" s="10">
        <v>0</v>
      </c>
      <c r="J7" s="6">
        <v>0</v>
      </c>
      <c r="K7" s="14">
        <v>20.797499999999999</v>
      </c>
      <c r="L7" s="10">
        <v>0</v>
      </c>
      <c r="M7" s="6">
        <v>6</v>
      </c>
      <c r="N7" s="14">
        <v>15.43</v>
      </c>
      <c r="R7" s="4">
        <v>5</v>
      </c>
      <c r="S7" s="20">
        <f>C25+D25</f>
        <v>236</v>
      </c>
      <c r="T7" s="21">
        <f>E25</f>
        <v>208.62439999999998</v>
      </c>
      <c r="U7" s="20">
        <f>F25+G25</f>
        <v>58</v>
      </c>
      <c r="V7" s="21">
        <f>H25</f>
        <v>59.111666666666672</v>
      </c>
      <c r="W7" s="20">
        <f>I25+J25</f>
        <v>36</v>
      </c>
      <c r="X7" s="21">
        <f>K25</f>
        <v>237.0025</v>
      </c>
      <c r="Y7" s="20">
        <f>L25+M25</f>
        <v>28</v>
      </c>
      <c r="Z7" s="21">
        <f>N25</f>
        <v>40.1</v>
      </c>
    </row>
    <row r="8" spans="1:26" x14ac:dyDescent="0.25">
      <c r="A8" s="26" t="s">
        <v>4</v>
      </c>
      <c r="B8" s="7" t="s">
        <v>5</v>
      </c>
      <c r="C8" s="8">
        <v>0</v>
      </c>
      <c r="D8" s="5">
        <v>9</v>
      </c>
      <c r="E8" s="11">
        <v>27.446400000000001</v>
      </c>
      <c r="F8" s="8">
        <v>15</v>
      </c>
      <c r="G8" s="5">
        <v>34</v>
      </c>
      <c r="H8" s="11">
        <v>34.238333333333337</v>
      </c>
      <c r="I8" s="8">
        <v>0</v>
      </c>
      <c r="J8" s="5">
        <v>8</v>
      </c>
      <c r="K8" s="11">
        <v>62.658999999999999</v>
      </c>
      <c r="L8" s="8">
        <v>6</v>
      </c>
      <c r="M8" s="5">
        <v>15</v>
      </c>
      <c r="N8" s="11">
        <v>32.042999999999999</v>
      </c>
    </row>
    <row r="9" spans="1:26" x14ac:dyDescent="0.25">
      <c r="A9" s="29"/>
      <c r="B9" s="1" t="s">
        <v>6</v>
      </c>
      <c r="C9" s="9">
        <v>0</v>
      </c>
      <c r="D9" s="4">
        <v>0</v>
      </c>
      <c r="E9" s="12">
        <v>18.651800000000001</v>
      </c>
      <c r="F9" s="9">
        <v>0</v>
      </c>
      <c r="G9" s="4">
        <v>0</v>
      </c>
      <c r="H9" s="12">
        <v>18.156333333333333</v>
      </c>
      <c r="I9" s="9">
        <v>0</v>
      </c>
      <c r="J9" s="4">
        <v>0</v>
      </c>
      <c r="K9" s="12">
        <v>18.381499999999999</v>
      </c>
      <c r="L9" s="9">
        <v>0</v>
      </c>
      <c r="M9" s="4">
        <v>0</v>
      </c>
      <c r="N9" s="12">
        <v>11.061500000000001</v>
      </c>
    </row>
    <row r="10" spans="1:26" x14ac:dyDescent="0.25">
      <c r="A10" s="29"/>
      <c r="B10" s="1" t="s">
        <v>7</v>
      </c>
      <c r="C10" s="9">
        <v>0</v>
      </c>
      <c r="D10" s="4">
        <v>201</v>
      </c>
      <c r="E10" s="12">
        <v>28.727800000000002</v>
      </c>
      <c r="F10" s="9">
        <v>0</v>
      </c>
      <c r="G10" s="4">
        <v>61</v>
      </c>
      <c r="H10" s="12">
        <v>11.328666666666669</v>
      </c>
      <c r="I10" s="9">
        <v>0</v>
      </c>
      <c r="J10" s="4">
        <v>21</v>
      </c>
      <c r="K10" s="12">
        <v>28.16</v>
      </c>
      <c r="L10" s="9">
        <v>0</v>
      </c>
      <c r="M10" s="4">
        <v>28</v>
      </c>
      <c r="N10" s="12">
        <v>10.3855</v>
      </c>
    </row>
    <row r="11" spans="1:26" x14ac:dyDescent="0.25">
      <c r="A11" s="27"/>
      <c r="B11" s="2" t="s">
        <v>8</v>
      </c>
      <c r="C11" s="9">
        <v>0</v>
      </c>
      <c r="D11" s="4">
        <v>19</v>
      </c>
      <c r="E11" s="13">
        <v>6.8275999999999994</v>
      </c>
      <c r="F11" s="9">
        <v>0</v>
      </c>
      <c r="G11" s="4">
        <v>42</v>
      </c>
      <c r="H11" s="13">
        <v>10.239333333333333</v>
      </c>
      <c r="I11" s="9">
        <v>0</v>
      </c>
      <c r="J11" s="4">
        <v>6</v>
      </c>
      <c r="K11" s="13">
        <v>8.6060000000000016</v>
      </c>
      <c r="L11" s="9">
        <v>0</v>
      </c>
      <c r="M11" s="4">
        <v>1</v>
      </c>
      <c r="N11" s="13">
        <v>2.246</v>
      </c>
    </row>
    <row r="12" spans="1:26" ht="15.75" thickBot="1" x14ac:dyDescent="0.3">
      <c r="A12" s="28"/>
      <c r="B12" s="3" t="s">
        <v>9</v>
      </c>
      <c r="C12" s="10">
        <v>0</v>
      </c>
      <c r="D12" s="6">
        <v>0</v>
      </c>
      <c r="E12" s="14">
        <v>24.289399999999997</v>
      </c>
      <c r="F12" s="10">
        <v>0</v>
      </c>
      <c r="G12" s="6">
        <v>3</v>
      </c>
      <c r="H12" s="14">
        <v>18.475000000000001</v>
      </c>
      <c r="I12" s="10">
        <v>0</v>
      </c>
      <c r="J12" s="6">
        <v>0</v>
      </c>
      <c r="K12" s="14">
        <v>24.878999999999998</v>
      </c>
      <c r="L12" s="10">
        <v>0</v>
      </c>
      <c r="M12" s="6">
        <v>0</v>
      </c>
      <c r="N12" s="14">
        <v>12.811</v>
      </c>
    </row>
    <row r="13" spans="1:26" x14ac:dyDescent="0.25">
      <c r="A13" s="26" t="s">
        <v>10</v>
      </c>
      <c r="B13" s="7" t="s">
        <v>5</v>
      </c>
      <c r="C13" s="8">
        <v>21</v>
      </c>
      <c r="D13" s="5">
        <v>39</v>
      </c>
      <c r="E13" s="11">
        <v>43.213000000000001</v>
      </c>
      <c r="F13" s="8">
        <v>0</v>
      </c>
      <c r="G13" s="5">
        <v>22</v>
      </c>
      <c r="H13" s="11">
        <v>32.008000000000003</v>
      </c>
      <c r="I13" s="8">
        <v>4</v>
      </c>
      <c r="J13" s="5">
        <v>4</v>
      </c>
      <c r="K13" s="11">
        <v>47.829000000000001</v>
      </c>
      <c r="L13" s="8">
        <v>0</v>
      </c>
      <c r="M13" s="5">
        <v>6</v>
      </c>
      <c r="N13" s="11">
        <v>25.389499999999998</v>
      </c>
    </row>
    <row r="14" spans="1:26" x14ac:dyDescent="0.25">
      <c r="A14" s="29"/>
      <c r="B14" s="1" t="s">
        <v>6</v>
      </c>
      <c r="C14" s="9">
        <v>0</v>
      </c>
      <c r="D14" s="4">
        <v>0</v>
      </c>
      <c r="E14" s="12">
        <v>23.866999999999997</v>
      </c>
      <c r="F14" s="9">
        <v>0</v>
      </c>
      <c r="G14" s="4">
        <v>0</v>
      </c>
      <c r="H14" s="12">
        <v>21.609666666666669</v>
      </c>
      <c r="I14" s="9">
        <v>0</v>
      </c>
      <c r="J14" s="4">
        <v>0</v>
      </c>
      <c r="K14" s="12">
        <v>21.009</v>
      </c>
      <c r="L14" s="9">
        <v>0</v>
      </c>
      <c r="M14" s="4">
        <v>0</v>
      </c>
      <c r="N14" s="12">
        <v>12.815</v>
      </c>
    </row>
    <row r="15" spans="1:26" x14ac:dyDescent="0.25">
      <c r="A15" s="29"/>
      <c r="B15" s="1" t="s">
        <v>7</v>
      </c>
      <c r="C15" s="9">
        <v>0</v>
      </c>
      <c r="D15" s="4">
        <v>201</v>
      </c>
      <c r="E15" s="12">
        <v>44.3902</v>
      </c>
      <c r="F15" s="9">
        <v>0</v>
      </c>
      <c r="G15" s="4">
        <v>53</v>
      </c>
      <c r="H15" s="12">
        <v>13.688666666666668</v>
      </c>
      <c r="I15" s="9">
        <v>0</v>
      </c>
      <c r="J15" s="4">
        <v>27</v>
      </c>
      <c r="K15" s="12">
        <v>60.691500000000005</v>
      </c>
      <c r="L15" s="9">
        <v>0</v>
      </c>
      <c r="M15" s="4">
        <v>15</v>
      </c>
      <c r="N15" s="12">
        <v>8.838000000000001</v>
      </c>
    </row>
    <row r="16" spans="1:26" x14ac:dyDescent="0.25">
      <c r="A16" s="27"/>
      <c r="B16" s="2" t="s">
        <v>8</v>
      </c>
      <c r="C16" s="9">
        <v>0</v>
      </c>
      <c r="D16" s="4">
        <v>30</v>
      </c>
      <c r="E16" s="13">
        <v>11.812200000000001</v>
      </c>
      <c r="F16" s="9">
        <v>0</v>
      </c>
      <c r="G16" s="4">
        <v>20</v>
      </c>
      <c r="H16" s="13">
        <v>7.7290000000000001</v>
      </c>
      <c r="I16" s="9">
        <v>0</v>
      </c>
      <c r="J16" s="4">
        <v>6</v>
      </c>
      <c r="K16" s="13">
        <v>12.189</v>
      </c>
      <c r="L16" s="9">
        <v>0</v>
      </c>
      <c r="M16" s="4">
        <v>6</v>
      </c>
      <c r="N16" s="13">
        <v>3.0569999999999999</v>
      </c>
    </row>
    <row r="17" spans="1:14" ht="15.75" thickBot="1" x14ac:dyDescent="0.3">
      <c r="A17" s="28"/>
      <c r="B17" s="3" t="s">
        <v>9</v>
      </c>
      <c r="C17" s="10">
        <v>0</v>
      </c>
      <c r="D17" s="6">
        <v>0</v>
      </c>
      <c r="E17" s="14">
        <v>32.965400000000002</v>
      </c>
      <c r="F17" s="10">
        <v>0</v>
      </c>
      <c r="G17" s="6">
        <v>8</v>
      </c>
      <c r="H17" s="14">
        <v>21.445666666666668</v>
      </c>
      <c r="I17" s="10">
        <v>0</v>
      </c>
      <c r="J17" s="6">
        <v>0</v>
      </c>
      <c r="K17" s="14">
        <v>29.049500000000002</v>
      </c>
      <c r="L17" s="10">
        <v>0</v>
      </c>
      <c r="M17" s="6">
        <v>0</v>
      </c>
      <c r="N17" s="14">
        <v>14.488</v>
      </c>
    </row>
    <row r="18" spans="1:14" x14ac:dyDescent="0.25">
      <c r="A18" s="26" t="s">
        <v>11</v>
      </c>
      <c r="B18" s="7" t="s">
        <v>5</v>
      </c>
      <c r="C18" s="8">
        <v>30</v>
      </c>
      <c r="D18" s="5">
        <v>68</v>
      </c>
      <c r="E18" s="11">
        <v>44.689400000000006</v>
      </c>
      <c r="F18" s="8">
        <v>6</v>
      </c>
      <c r="G18" s="5">
        <v>36</v>
      </c>
      <c r="H18" s="11">
        <v>51.801000000000009</v>
      </c>
      <c r="I18" s="8">
        <v>3</v>
      </c>
      <c r="J18" s="5">
        <v>7</v>
      </c>
      <c r="K18" s="11">
        <v>86.951999999999998</v>
      </c>
      <c r="L18" s="8">
        <v>0</v>
      </c>
      <c r="M18" s="5">
        <v>6</v>
      </c>
      <c r="N18" s="11">
        <v>33.594000000000001</v>
      </c>
    </row>
    <row r="19" spans="1:14" x14ac:dyDescent="0.25">
      <c r="A19" s="29"/>
      <c r="B19" s="1" t="s">
        <v>6</v>
      </c>
      <c r="C19" s="9">
        <v>0</v>
      </c>
      <c r="D19" s="4">
        <v>0</v>
      </c>
      <c r="E19" s="12">
        <v>29.6538</v>
      </c>
      <c r="F19" s="9">
        <v>0</v>
      </c>
      <c r="G19" s="4">
        <v>0</v>
      </c>
      <c r="H19" s="12">
        <v>29.847333333333335</v>
      </c>
      <c r="I19" s="9">
        <v>0</v>
      </c>
      <c r="J19" s="4">
        <v>0</v>
      </c>
      <c r="K19" s="13">
        <v>27.863500000000002</v>
      </c>
      <c r="L19" s="9">
        <v>0</v>
      </c>
      <c r="M19" s="4">
        <v>0</v>
      </c>
      <c r="N19" s="12">
        <v>20.045500000000001</v>
      </c>
    </row>
    <row r="20" spans="1:14" x14ac:dyDescent="0.25">
      <c r="A20" s="29"/>
      <c r="B20" s="1" t="s">
        <v>7</v>
      </c>
      <c r="C20" s="9">
        <v>0</v>
      </c>
      <c r="D20" s="4">
        <v>227</v>
      </c>
      <c r="E20" s="12">
        <v>88.18719999999999</v>
      </c>
      <c r="F20" s="9">
        <v>0</v>
      </c>
      <c r="G20" s="4">
        <v>60</v>
      </c>
      <c r="H20" s="12">
        <v>36.797333333333334</v>
      </c>
      <c r="I20" s="9">
        <v>0</v>
      </c>
      <c r="J20" s="4">
        <v>21</v>
      </c>
      <c r="K20" s="12">
        <v>77.701999999999998</v>
      </c>
      <c r="L20" s="9">
        <v>0</v>
      </c>
      <c r="M20" s="4">
        <v>21</v>
      </c>
      <c r="N20" s="12">
        <v>22.189499999999999</v>
      </c>
    </row>
    <row r="21" spans="1:14" x14ac:dyDescent="0.25">
      <c r="A21" s="27"/>
      <c r="B21" s="2" t="s">
        <v>8</v>
      </c>
      <c r="C21" s="9">
        <v>0</v>
      </c>
      <c r="D21" s="4">
        <v>37</v>
      </c>
      <c r="E21" s="13">
        <v>26.771800000000002</v>
      </c>
      <c r="F21" s="9">
        <v>0</v>
      </c>
      <c r="G21" s="4">
        <v>12</v>
      </c>
      <c r="H21" s="13">
        <v>16.077000000000002</v>
      </c>
      <c r="I21" s="9">
        <v>0</v>
      </c>
      <c r="J21" s="4">
        <v>15</v>
      </c>
      <c r="K21" s="12">
        <v>42.326999999999998</v>
      </c>
      <c r="L21" s="9">
        <v>0</v>
      </c>
      <c r="M21" s="4">
        <v>5</v>
      </c>
      <c r="N21" s="13">
        <v>7.3454999999999995</v>
      </c>
    </row>
    <row r="22" spans="1:14" ht="15.75" thickBot="1" x14ac:dyDescent="0.3">
      <c r="A22" s="28"/>
      <c r="B22" s="3" t="s">
        <v>9</v>
      </c>
      <c r="C22" s="10">
        <v>0</v>
      </c>
      <c r="D22" s="6">
        <v>3</v>
      </c>
      <c r="E22" s="14">
        <v>44.898600000000002</v>
      </c>
      <c r="F22" s="10">
        <v>0</v>
      </c>
      <c r="G22" s="6">
        <v>0</v>
      </c>
      <c r="H22" s="14">
        <v>31.757000000000001</v>
      </c>
      <c r="I22" s="10">
        <v>0</v>
      </c>
      <c r="J22" s="6">
        <v>0</v>
      </c>
      <c r="K22" s="14">
        <v>40.46</v>
      </c>
      <c r="L22" s="10">
        <v>0</v>
      </c>
      <c r="M22" s="6">
        <v>0</v>
      </c>
      <c r="N22" s="14">
        <v>16.573499999999999</v>
      </c>
    </row>
    <row r="23" spans="1:14" x14ac:dyDescent="0.25">
      <c r="A23" s="26" t="s">
        <v>12</v>
      </c>
      <c r="B23" s="7" t="s">
        <v>5</v>
      </c>
      <c r="C23" s="8">
        <v>15</v>
      </c>
      <c r="D23" s="5">
        <v>273</v>
      </c>
      <c r="E23" s="11">
        <v>157.15860000000004</v>
      </c>
      <c r="F23" s="8">
        <v>42</v>
      </c>
      <c r="G23" s="5">
        <v>110</v>
      </c>
      <c r="H23" s="11">
        <v>107.09566666666666</v>
      </c>
      <c r="I23" s="8">
        <v>4</v>
      </c>
      <c r="J23" s="5">
        <v>8</v>
      </c>
      <c r="K23" s="11">
        <v>112.268</v>
      </c>
      <c r="L23" s="8">
        <v>12</v>
      </c>
      <c r="M23" s="5">
        <v>24</v>
      </c>
      <c r="N23" s="11">
        <v>246.48149999999998</v>
      </c>
    </row>
    <row r="24" spans="1:14" x14ac:dyDescent="0.25">
      <c r="A24" s="29"/>
      <c r="B24" s="1" t="s">
        <v>6</v>
      </c>
      <c r="C24" s="9">
        <v>0</v>
      </c>
      <c r="D24" s="4">
        <v>3</v>
      </c>
      <c r="E24" s="13">
        <v>42.4148</v>
      </c>
      <c r="F24" s="9">
        <v>3</v>
      </c>
      <c r="G24" s="4">
        <v>11</v>
      </c>
      <c r="H24" s="12">
        <v>41.159666666666674</v>
      </c>
      <c r="I24" s="9">
        <v>0</v>
      </c>
      <c r="J24" s="4">
        <v>2</v>
      </c>
      <c r="K24" s="12">
        <v>69.332999999999998</v>
      </c>
      <c r="L24" s="9">
        <v>0</v>
      </c>
      <c r="M24" s="4">
        <v>2</v>
      </c>
      <c r="N24" s="12">
        <v>24.628</v>
      </c>
    </row>
    <row r="25" spans="1:14" x14ac:dyDescent="0.25">
      <c r="A25" s="29"/>
      <c r="B25" s="1" t="s">
        <v>7</v>
      </c>
      <c r="C25" s="9">
        <v>0</v>
      </c>
      <c r="D25" s="4">
        <v>236</v>
      </c>
      <c r="E25" s="12">
        <v>208.62439999999998</v>
      </c>
      <c r="F25" s="9">
        <v>0</v>
      </c>
      <c r="G25" s="4">
        <v>58</v>
      </c>
      <c r="H25" s="12">
        <v>59.111666666666672</v>
      </c>
      <c r="I25" s="9">
        <v>9</v>
      </c>
      <c r="J25" s="4">
        <v>27</v>
      </c>
      <c r="K25" s="12">
        <v>237.0025</v>
      </c>
      <c r="L25" s="9">
        <v>0</v>
      </c>
      <c r="M25" s="4">
        <v>28</v>
      </c>
      <c r="N25" s="12">
        <v>40.1</v>
      </c>
    </row>
    <row r="26" spans="1:14" x14ac:dyDescent="0.25">
      <c r="A26" s="27"/>
      <c r="B26" s="2" t="s">
        <v>8</v>
      </c>
      <c r="C26" s="9">
        <v>0</v>
      </c>
      <c r="D26" s="4">
        <v>61</v>
      </c>
      <c r="E26" s="12">
        <v>57.111599999999996</v>
      </c>
      <c r="F26" s="9">
        <v>0</v>
      </c>
      <c r="G26" s="4">
        <v>16</v>
      </c>
      <c r="H26" s="13">
        <v>33.736666666666665</v>
      </c>
      <c r="I26" s="9">
        <v>0</v>
      </c>
      <c r="J26" s="4">
        <v>13</v>
      </c>
      <c r="K26" s="12">
        <v>115.86449999999999</v>
      </c>
      <c r="L26" s="9">
        <v>0</v>
      </c>
      <c r="M26" s="4">
        <v>15</v>
      </c>
      <c r="N26" s="13">
        <v>16.868500000000001</v>
      </c>
    </row>
    <row r="27" spans="1:14" ht="15.75" thickBot="1" x14ac:dyDescent="0.3">
      <c r="A27" s="28"/>
      <c r="B27" s="3" t="s">
        <v>9</v>
      </c>
      <c r="C27" s="10">
        <v>0</v>
      </c>
      <c r="D27" s="6">
        <v>0</v>
      </c>
      <c r="E27" s="14">
        <v>73.557000000000002</v>
      </c>
      <c r="F27" s="10">
        <v>0</v>
      </c>
      <c r="G27" s="6">
        <v>0</v>
      </c>
      <c r="H27" s="14">
        <v>48.351333333333336</v>
      </c>
      <c r="I27" s="10">
        <v>0</v>
      </c>
      <c r="J27" s="6">
        <v>2</v>
      </c>
      <c r="K27" s="15">
        <v>68.578999999999994</v>
      </c>
      <c r="L27" s="10">
        <v>0</v>
      </c>
      <c r="M27" s="6">
        <v>3</v>
      </c>
      <c r="N27" s="14">
        <v>25.704999999999998</v>
      </c>
    </row>
    <row r="29" spans="1:14" x14ac:dyDescent="0.25">
      <c r="A29" t="s">
        <v>19</v>
      </c>
    </row>
    <row r="30" spans="1:14" x14ac:dyDescent="0.25">
      <c r="A30" t="s">
        <v>20</v>
      </c>
    </row>
    <row r="31" spans="1:14" x14ac:dyDescent="0.25">
      <c r="A31" t="s">
        <v>21</v>
      </c>
    </row>
    <row r="32" spans="1:14" x14ac:dyDescent="0.25">
      <c r="A32" t="s">
        <v>22</v>
      </c>
    </row>
  </sheetData>
  <mergeCells count="13">
    <mergeCell ref="A23:A27"/>
    <mergeCell ref="W1:X1"/>
    <mergeCell ref="Y1:Z1"/>
    <mergeCell ref="A3:A7"/>
    <mergeCell ref="A8:A12"/>
    <mergeCell ref="A13:A17"/>
    <mergeCell ref="A18:A22"/>
    <mergeCell ref="C1:E1"/>
    <mergeCell ref="F1:H1"/>
    <mergeCell ref="I1:K1"/>
    <mergeCell ref="L1:N1"/>
    <mergeCell ref="S1:T1"/>
    <mergeCell ref="U1:V1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2D07-1F90-4619-B884-AF9A20D79378}">
  <dimension ref="A1:Z32"/>
  <sheetViews>
    <sheetView workbookViewId="0">
      <selection activeCell="K22" sqref="K22"/>
    </sheetView>
  </sheetViews>
  <sheetFormatPr baseColWidth="10" defaultRowHeight="15" x14ac:dyDescent="0.25"/>
  <cols>
    <col min="3" max="14" width="9.5703125" customWidth="1"/>
  </cols>
  <sheetData>
    <row r="1" spans="1:26" ht="15.75" thickBot="1" x14ac:dyDescent="0.3">
      <c r="C1" s="30" t="s">
        <v>0</v>
      </c>
      <c r="D1" s="31"/>
      <c r="E1" s="32"/>
      <c r="F1" s="23" t="s">
        <v>13</v>
      </c>
      <c r="G1" s="24"/>
      <c r="H1" s="25"/>
      <c r="I1" s="23" t="s">
        <v>15</v>
      </c>
      <c r="J1" s="24"/>
      <c r="K1" s="25"/>
      <c r="L1" s="23" t="s">
        <v>14</v>
      </c>
      <c r="M1" s="24"/>
      <c r="N1" s="25"/>
      <c r="R1" s="19" t="s">
        <v>8</v>
      </c>
      <c r="S1" s="33" t="s">
        <v>25</v>
      </c>
      <c r="T1" s="33"/>
      <c r="U1" s="33" t="s">
        <v>26</v>
      </c>
      <c r="V1" s="33"/>
      <c r="W1" s="33" t="s">
        <v>27</v>
      </c>
      <c r="X1" s="33"/>
      <c r="Y1" s="33" t="s">
        <v>28</v>
      </c>
      <c r="Z1" s="33"/>
    </row>
    <row r="2" spans="1:26" ht="30.75" thickBot="1" x14ac:dyDescent="0.3">
      <c r="A2" s="16" t="s">
        <v>3</v>
      </c>
      <c r="B2" s="17" t="s">
        <v>2</v>
      </c>
      <c r="C2" s="18" t="s">
        <v>16</v>
      </c>
      <c r="D2" s="18" t="s">
        <v>17</v>
      </c>
      <c r="E2" s="18" t="s">
        <v>18</v>
      </c>
      <c r="F2" s="18" t="s">
        <v>16</v>
      </c>
      <c r="G2" s="18" t="s">
        <v>17</v>
      </c>
      <c r="H2" s="18" t="s">
        <v>18</v>
      </c>
      <c r="I2" s="18" t="s">
        <v>16</v>
      </c>
      <c r="J2" s="18" t="s">
        <v>17</v>
      </c>
      <c r="K2" s="18" t="s">
        <v>18</v>
      </c>
      <c r="L2" s="18" t="s">
        <v>16</v>
      </c>
      <c r="M2" s="18" t="s">
        <v>17</v>
      </c>
      <c r="N2" s="18" t="s">
        <v>18</v>
      </c>
      <c r="R2" s="22" t="s">
        <v>29</v>
      </c>
      <c r="S2" s="22" t="s">
        <v>23</v>
      </c>
      <c r="T2" s="22" t="s">
        <v>24</v>
      </c>
      <c r="U2" s="22" t="s">
        <v>23</v>
      </c>
      <c r="V2" s="22" t="s">
        <v>24</v>
      </c>
      <c r="W2" s="22" t="s">
        <v>23</v>
      </c>
      <c r="X2" s="22" t="s">
        <v>24</v>
      </c>
      <c r="Y2" s="22" t="s">
        <v>23</v>
      </c>
      <c r="Z2" s="22" t="s">
        <v>24</v>
      </c>
    </row>
    <row r="3" spans="1:26" x14ac:dyDescent="0.25">
      <c r="A3" s="26" t="s">
        <v>1</v>
      </c>
      <c r="B3" s="7" t="s">
        <v>5</v>
      </c>
      <c r="C3" s="8">
        <v>0</v>
      </c>
      <c r="D3" s="5">
        <v>15</v>
      </c>
      <c r="E3" s="11">
        <v>20.6342</v>
      </c>
      <c r="F3" s="8">
        <v>3</v>
      </c>
      <c r="G3" s="5">
        <v>17</v>
      </c>
      <c r="H3" s="11">
        <v>28.052666666666667</v>
      </c>
      <c r="I3" s="8">
        <v>0</v>
      </c>
      <c r="J3" s="5">
        <v>8</v>
      </c>
      <c r="K3" s="11">
        <v>58.119</v>
      </c>
      <c r="L3" s="8">
        <v>3</v>
      </c>
      <c r="M3" s="5">
        <v>4</v>
      </c>
      <c r="N3" s="11">
        <v>22.875500000000002</v>
      </c>
      <c r="R3" s="4">
        <v>1</v>
      </c>
      <c r="S3" s="20">
        <f>C6+D6</f>
        <v>23</v>
      </c>
      <c r="T3" s="21">
        <f>E6</f>
        <v>2.7808000000000002</v>
      </c>
      <c r="U3" s="20">
        <f>F6+G6</f>
        <v>29</v>
      </c>
      <c r="V3" s="21">
        <f>H6</f>
        <v>7.1176666666666675</v>
      </c>
      <c r="W3" s="20">
        <f>I6+J6</f>
        <v>9</v>
      </c>
      <c r="X3" s="21">
        <f>K6</f>
        <v>8.472999999999999</v>
      </c>
      <c r="Y3" s="20">
        <f>L6+M6</f>
        <v>4</v>
      </c>
      <c r="Z3" s="21">
        <f>N6</f>
        <v>2.0529999999999999</v>
      </c>
    </row>
    <row r="4" spans="1:26" x14ac:dyDescent="0.25">
      <c r="A4" s="27"/>
      <c r="B4" s="2" t="s">
        <v>6</v>
      </c>
      <c r="C4" s="9">
        <v>0</v>
      </c>
      <c r="D4" s="4">
        <v>8</v>
      </c>
      <c r="E4" s="12">
        <v>12.1792</v>
      </c>
      <c r="F4" s="9">
        <v>0</v>
      </c>
      <c r="G4" s="4">
        <v>0</v>
      </c>
      <c r="H4" s="12">
        <v>20.236999999999998</v>
      </c>
      <c r="I4" s="9">
        <v>0</v>
      </c>
      <c r="J4" s="4">
        <v>0</v>
      </c>
      <c r="K4" s="12">
        <v>20.944499999999998</v>
      </c>
      <c r="L4" s="9">
        <v>0</v>
      </c>
      <c r="M4" s="4">
        <v>0</v>
      </c>
      <c r="N4" s="12">
        <v>11.448499999999999</v>
      </c>
      <c r="R4" s="4">
        <v>2</v>
      </c>
      <c r="S4" s="20">
        <f>C11+D11</f>
        <v>19</v>
      </c>
      <c r="T4" s="21">
        <f>E11</f>
        <v>6.8275999999999994</v>
      </c>
      <c r="U4" s="20">
        <f>F11+G11</f>
        <v>42</v>
      </c>
      <c r="V4" s="21">
        <f>H11</f>
        <v>10.239333333333333</v>
      </c>
      <c r="W4" s="20">
        <f>I11+J11</f>
        <v>6</v>
      </c>
      <c r="X4" s="21">
        <f>K11</f>
        <v>8.6060000000000016</v>
      </c>
      <c r="Y4" s="20">
        <f>L11+M11</f>
        <v>1</v>
      </c>
      <c r="Z4" s="21">
        <f>N11</f>
        <v>2.246</v>
      </c>
    </row>
    <row r="5" spans="1:26" x14ac:dyDescent="0.25">
      <c r="A5" s="27"/>
      <c r="B5" s="2" t="s">
        <v>7</v>
      </c>
      <c r="C5" s="9">
        <v>0</v>
      </c>
      <c r="D5" s="4">
        <v>188</v>
      </c>
      <c r="E5" s="12">
        <v>12.6266</v>
      </c>
      <c r="F5" s="9">
        <v>0</v>
      </c>
      <c r="G5" s="4">
        <v>57</v>
      </c>
      <c r="H5" s="12">
        <v>10.080999999999998</v>
      </c>
      <c r="I5" s="9">
        <v>0</v>
      </c>
      <c r="J5" s="4">
        <v>22</v>
      </c>
      <c r="K5" s="12">
        <v>25.102499999999999</v>
      </c>
      <c r="L5" s="9">
        <v>0</v>
      </c>
      <c r="M5" s="4">
        <v>10</v>
      </c>
      <c r="N5" s="12">
        <v>4.3209999999999997</v>
      </c>
      <c r="R5" s="4">
        <v>3</v>
      </c>
      <c r="S5" s="20">
        <f>C16+D16</f>
        <v>30</v>
      </c>
      <c r="T5" s="21">
        <f>E16</f>
        <v>11.812200000000001</v>
      </c>
      <c r="U5" s="20">
        <f>F16+G16</f>
        <v>20</v>
      </c>
      <c r="V5" s="21">
        <f>H16</f>
        <v>7.7290000000000001</v>
      </c>
      <c r="W5" s="20">
        <f>I16+J16</f>
        <v>6</v>
      </c>
      <c r="X5" s="21">
        <f>K16</f>
        <v>12.189</v>
      </c>
      <c r="Y5" s="20">
        <f>L16+M16</f>
        <v>6</v>
      </c>
      <c r="Z5" s="21">
        <f>N16</f>
        <v>3.0569999999999999</v>
      </c>
    </row>
    <row r="6" spans="1:26" x14ac:dyDescent="0.25">
      <c r="A6" s="27"/>
      <c r="B6" s="2" t="s">
        <v>8</v>
      </c>
      <c r="C6" s="9">
        <v>0</v>
      </c>
      <c r="D6" s="4">
        <v>23</v>
      </c>
      <c r="E6" s="13">
        <v>2.7808000000000002</v>
      </c>
      <c r="F6" s="9">
        <v>0</v>
      </c>
      <c r="G6" s="4">
        <v>29</v>
      </c>
      <c r="H6" s="13">
        <v>7.1176666666666675</v>
      </c>
      <c r="I6" s="9">
        <v>0</v>
      </c>
      <c r="J6" s="4">
        <v>9</v>
      </c>
      <c r="K6" s="13">
        <v>8.472999999999999</v>
      </c>
      <c r="L6" s="9">
        <v>0</v>
      </c>
      <c r="M6" s="4">
        <v>4</v>
      </c>
      <c r="N6" s="13">
        <v>2.0529999999999999</v>
      </c>
      <c r="R6" s="4">
        <v>4</v>
      </c>
      <c r="S6" s="20">
        <f>C21+D21</f>
        <v>37</v>
      </c>
      <c r="T6" s="21">
        <f>E21</f>
        <v>26.771800000000002</v>
      </c>
      <c r="U6" s="20">
        <f>F21+G21</f>
        <v>12</v>
      </c>
      <c r="V6" s="21">
        <f>H21</f>
        <v>16.077000000000002</v>
      </c>
      <c r="W6" s="20">
        <f>I21+J21</f>
        <v>15</v>
      </c>
      <c r="X6" s="21">
        <f>K21</f>
        <v>42.326999999999998</v>
      </c>
      <c r="Y6" s="20">
        <f>L21+M21</f>
        <v>5</v>
      </c>
      <c r="Z6" s="21">
        <f>N21</f>
        <v>7.3454999999999995</v>
      </c>
    </row>
    <row r="7" spans="1:26" ht="15.75" thickBot="1" x14ac:dyDescent="0.3">
      <c r="A7" s="28"/>
      <c r="B7" s="3" t="s">
        <v>9</v>
      </c>
      <c r="C7" s="10">
        <v>0</v>
      </c>
      <c r="D7" s="6">
        <v>9</v>
      </c>
      <c r="E7" s="14">
        <v>14.234599999999997</v>
      </c>
      <c r="F7" s="10">
        <v>0</v>
      </c>
      <c r="G7" s="6">
        <v>1</v>
      </c>
      <c r="H7" s="14">
        <v>20.726666666666667</v>
      </c>
      <c r="I7" s="10">
        <v>0</v>
      </c>
      <c r="J7" s="6">
        <v>0</v>
      </c>
      <c r="K7" s="14">
        <v>20.797499999999999</v>
      </c>
      <c r="L7" s="10">
        <v>0</v>
      </c>
      <c r="M7" s="6">
        <v>6</v>
      </c>
      <c r="N7" s="14">
        <v>15.43</v>
      </c>
      <c r="R7" s="4">
        <v>5</v>
      </c>
      <c r="S7" s="20">
        <f>C26+D26</f>
        <v>61</v>
      </c>
      <c r="T7" s="21">
        <f>E26</f>
        <v>57.111599999999996</v>
      </c>
      <c r="U7" s="20">
        <f>F26+G26</f>
        <v>16</v>
      </c>
      <c r="V7" s="21">
        <f>H26</f>
        <v>33.736666666666665</v>
      </c>
      <c r="W7" s="20">
        <f>I26+J26</f>
        <v>13</v>
      </c>
      <c r="X7" s="21">
        <f>K26</f>
        <v>115.86449999999999</v>
      </c>
      <c r="Y7" s="20">
        <f>L26+M26</f>
        <v>15</v>
      </c>
      <c r="Z7" s="21">
        <f>N26</f>
        <v>16.868500000000001</v>
      </c>
    </row>
    <row r="8" spans="1:26" x14ac:dyDescent="0.25">
      <c r="A8" s="26" t="s">
        <v>4</v>
      </c>
      <c r="B8" s="7" t="s">
        <v>5</v>
      </c>
      <c r="C8" s="8">
        <v>0</v>
      </c>
      <c r="D8" s="5">
        <v>9</v>
      </c>
      <c r="E8" s="11">
        <v>27.446400000000001</v>
      </c>
      <c r="F8" s="8">
        <v>15</v>
      </c>
      <c r="G8" s="5">
        <v>34</v>
      </c>
      <c r="H8" s="11">
        <v>34.238333333333337</v>
      </c>
      <c r="I8" s="8">
        <v>0</v>
      </c>
      <c r="J8" s="5">
        <v>8</v>
      </c>
      <c r="K8" s="11">
        <v>62.658999999999999</v>
      </c>
      <c r="L8" s="8">
        <v>6</v>
      </c>
      <c r="M8" s="5">
        <v>15</v>
      </c>
      <c r="N8" s="11">
        <v>32.042999999999999</v>
      </c>
    </row>
    <row r="9" spans="1:26" x14ac:dyDescent="0.25">
      <c r="A9" s="29"/>
      <c r="B9" s="1" t="s">
        <v>6</v>
      </c>
      <c r="C9" s="9">
        <v>0</v>
      </c>
      <c r="D9" s="4">
        <v>0</v>
      </c>
      <c r="E9" s="12">
        <v>18.651800000000001</v>
      </c>
      <c r="F9" s="9">
        <v>0</v>
      </c>
      <c r="G9" s="4">
        <v>0</v>
      </c>
      <c r="H9" s="12">
        <v>18.156333333333333</v>
      </c>
      <c r="I9" s="9">
        <v>0</v>
      </c>
      <c r="J9" s="4">
        <v>0</v>
      </c>
      <c r="K9" s="12">
        <v>18.381499999999999</v>
      </c>
      <c r="L9" s="9">
        <v>0</v>
      </c>
      <c r="M9" s="4">
        <v>0</v>
      </c>
      <c r="N9" s="12">
        <v>11.061500000000001</v>
      </c>
    </row>
    <row r="10" spans="1:26" x14ac:dyDescent="0.25">
      <c r="A10" s="29"/>
      <c r="B10" s="1" t="s">
        <v>7</v>
      </c>
      <c r="C10" s="9">
        <v>0</v>
      </c>
      <c r="D10" s="4">
        <v>201</v>
      </c>
      <c r="E10" s="12">
        <v>28.727800000000002</v>
      </c>
      <c r="F10" s="9">
        <v>0</v>
      </c>
      <c r="G10" s="4">
        <v>61</v>
      </c>
      <c r="H10" s="12">
        <v>11.328666666666669</v>
      </c>
      <c r="I10" s="9">
        <v>0</v>
      </c>
      <c r="J10" s="4">
        <v>21</v>
      </c>
      <c r="K10" s="12">
        <v>28.16</v>
      </c>
      <c r="L10" s="9">
        <v>0</v>
      </c>
      <c r="M10" s="4">
        <v>28</v>
      </c>
      <c r="N10" s="12">
        <v>10.3855</v>
      </c>
    </row>
    <row r="11" spans="1:26" x14ac:dyDescent="0.25">
      <c r="A11" s="27"/>
      <c r="B11" s="2" t="s">
        <v>8</v>
      </c>
      <c r="C11" s="9">
        <v>0</v>
      </c>
      <c r="D11" s="4">
        <v>19</v>
      </c>
      <c r="E11" s="13">
        <v>6.8275999999999994</v>
      </c>
      <c r="F11" s="9">
        <v>0</v>
      </c>
      <c r="G11" s="4">
        <v>42</v>
      </c>
      <c r="H11" s="13">
        <v>10.239333333333333</v>
      </c>
      <c r="I11" s="9">
        <v>0</v>
      </c>
      <c r="J11" s="4">
        <v>6</v>
      </c>
      <c r="K11" s="13">
        <v>8.6060000000000016</v>
      </c>
      <c r="L11" s="9">
        <v>0</v>
      </c>
      <c r="M11" s="4">
        <v>1</v>
      </c>
      <c r="N11" s="13">
        <v>2.246</v>
      </c>
    </row>
    <row r="12" spans="1:26" ht="15.75" thickBot="1" x14ac:dyDescent="0.3">
      <c r="A12" s="28"/>
      <c r="B12" s="3" t="s">
        <v>9</v>
      </c>
      <c r="C12" s="10">
        <v>0</v>
      </c>
      <c r="D12" s="6">
        <v>0</v>
      </c>
      <c r="E12" s="14">
        <v>24.289399999999997</v>
      </c>
      <c r="F12" s="10">
        <v>0</v>
      </c>
      <c r="G12" s="6">
        <v>3</v>
      </c>
      <c r="H12" s="14">
        <v>18.475000000000001</v>
      </c>
      <c r="I12" s="10">
        <v>0</v>
      </c>
      <c r="J12" s="6">
        <v>0</v>
      </c>
      <c r="K12" s="14">
        <v>24.878999999999998</v>
      </c>
      <c r="L12" s="10">
        <v>0</v>
      </c>
      <c r="M12" s="6">
        <v>0</v>
      </c>
      <c r="N12" s="14">
        <v>12.811</v>
      </c>
    </row>
    <row r="13" spans="1:26" x14ac:dyDescent="0.25">
      <c r="A13" s="26" t="s">
        <v>10</v>
      </c>
      <c r="B13" s="7" t="s">
        <v>5</v>
      </c>
      <c r="C13" s="8">
        <v>21</v>
      </c>
      <c r="D13" s="5">
        <v>39</v>
      </c>
      <c r="E13" s="11">
        <v>43.213000000000001</v>
      </c>
      <c r="F13" s="8">
        <v>0</v>
      </c>
      <c r="G13" s="5">
        <v>22</v>
      </c>
      <c r="H13" s="11">
        <v>32.008000000000003</v>
      </c>
      <c r="I13" s="8">
        <v>4</v>
      </c>
      <c r="J13" s="5">
        <v>4</v>
      </c>
      <c r="K13" s="11">
        <v>47.829000000000001</v>
      </c>
      <c r="L13" s="8">
        <v>0</v>
      </c>
      <c r="M13" s="5">
        <v>6</v>
      </c>
      <c r="N13" s="11">
        <v>25.389499999999998</v>
      </c>
    </row>
    <row r="14" spans="1:26" x14ac:dyDescent="0.25">
      <c r="A14" s="29"/>
      <c r="B14" s="1" t="s">
        <v>6</v>
      </c>
      <c r="C14" s="9">
        <v>0</v>
      </c>
      <c r="D14" s="4">
        <v>0</v>
      </c>
      <c r="E14" s="12">
        <v>23.866999999999997</v>
      </c>
      <c r="F14" s="9">
        <v>0</v>
      </c>
      <c r="G14" s="4">
        <v>0</v>
      </c>
      <c r="H14" s="12">
        <v>21.609666666666669</v>
      </c>
      <c r="I14" s="9">
        <v>0</v>
      </c>
      <c r="J14" s="4">
        <v>0</v>
      </c>
      <c r="K14" s="12">
        <v>21.009</v>
      </c>
      <c r="L14" s="9">
        <v>0</v>
      </c>
      <c r="M14" s="4">
        <v>0</v>
      </c>
      <c r="N14" s="12">
        <v>12.815</v>
      </c>
    </row>
    <row r="15" spans="1:26" x14ac:dyDescent="0.25">
      <c r="A15" s="29"/>
      <c r="B15" s="1" t="s">
        <v>7</v>
      </c>
      <c r="C15" s="9">
        <v>0</v>
      </c>
      <c r="D15" s="4">
        <v>201</v>
      </c>
      <c r="E15" s="12">
        <v>44.3902</v>
      </c>
      <c r="F15" s="9">
        <v>0</v>
      </c>
      <c r="G15" s="4">
        <v>53</v>
      </c>
      <c r="H15" s="12">
        <v>13.688666666666668</v>
      </c>
      <c r="I15" s="9">
        <v>0</v>
      </c>
      <c r="J15" s="4">
        <v>27</v>
      </c>
      <c r="K15" s="12">
        <v>60.691500000000005</v>
      </c>
      <c r="L15" s="9">
        <v>0</v>
      </c>
      <c r="M15" s="4">
        <v>15</v>
      </c>
      <c r="N15" s="12">
        <v>8.838000000000001</v>
      </c>
    </row>
    <row r="16" spans="1:26" x14ac:dyDescent="0.25">
      <c r="A16" s="27"/>
      <c r="B16" s="2" t="s">
        <v>8</v>
      </c>
      <c r="C16" s="9">
        <v>0</v>
      </c>
      <c r="D16" s="4">
        <v>30</v>
      </c>
      <c r="E16" s="13">
        <v>11.812200000000001</v>
      </c>
      <c r="F16" s="9">
        <v>0</v>
      </c>
      <c r="G16" s="4">
        <v>20</v>
      </c>
      <c r="H16" s="13">
        <v>7.7290000000000001</v>
      </c>
      <c r="I16" s="9">
        <v>0</v>
      </c>
      <c r="J16" s="4">
        <v>6</v>
      </c>
      <c r="K16" s="13">
        <v>12.189</v>
      </c>
      <c r="L16" s="9">
        <v>0</v>
      </c>
      <c r="M16" s="4">
        <v>6</v>
      </c>
      <c r="N16" s="13">
        <v>3.0569999999999999</v>
      </c>
    </row>
    <row r="17" spans="1:14" ht="15.75" thickBot="1" x14ac:dyDescent="0.3">
      <c r="A17" s="28"/>
      <c r="B17" s="3" t="s">
        <v>9</v>
      </c>
      <c r="C17" s="10">
        <v>0</v>
      </c>
      <c r="D17" s="6">
        <v>0</v>
      </c>
      <c r="E17" s="14">
        <v>32.965400000000002</v>
      </c>
      <c r="F17" s="10">
        <v>0</v>
      </c>
      <c r="G17" s="6">
        <v>8</v>
      </c>
      <c r="H17" s="14">
        <v>21.445666666666668</v>
      </c>
      <c r="I17" s="10">
        <v>0</v>
      </c>
      <c r="J17" s="6">
        <v>0</v>
      </c>
      <c r="K17" s="14">
        <v>29.049500000000002</v>
      </c>
      <c r="L17" s="10">
        <v>0</v>
      </c>
      <c r="M17" s="6">
        <v>0</v>
      </c>
      <c r="N17" s="14">
        <v>14.488</v>
      </c>
    </row>
    <row r="18" spans="1:14" x14ac:dyDescent="0.25">
      <c r="A18" s="26" t="s">
        <v>11</v>
      </c>
      <c r="B18" s="7" t="s">
        <v>5</v>
      </c>
      <c r="C18" s="8">
        <v>30</v>
      </c>
      <c r="D18" s="5">
        <v>68</v>
      </c>
      <c r="E18" s="11">
        <v>44.689400000000006</v>
      </c>
      <c r="F18" s="8">
        <v>6</v>
      </c>
      <c r="G18" s="5">
        <v>36</v>
      </c>
      <c r="H18" s="11">
        <v>51.801000000000009</v>
      </c>
      <c r="I18" s="8">
        <v>3</v>
      </c>
      <c r="J18" s="5">
        <v>7</v>
      </c>
      <c r="K18" s="11">
        <v>86.951999999999998</v>
      </c>
      <c r="L18" s="8">
        <v>0</v>
      </c>
      <c r="M18" s="5">
        <v>6</v>
      </c>
      <c r="N18" s="11">
        <v>33.594000000000001</v>
      </c>
    </row>
    <row r="19" spans="1:14" x14ac:dyDescent="0.25">
      <c r="A19" s="29"/>
      <c r="B19" s="1" t="s">
        <v>6</v>
      </c>
      <c r="C19" s="9">
        <v>0</v>
      </c>
      <c r="D19" s="4">
        <v>0</v>
      </c>
      <c r="E19" s="12">
        <v>29.6538</v>
      </c>
      <c r="F19" s="9">
        <v>0</v>
      </c>
      <c r="G19" s="4">
        <v>0</v>
      </c>
      <c r="H19" s="12">
        <v>29.847333333333335</v>
      </c>
      <c r="I19" s="9">
        <v>0</v>
      </c>
      <c r="J19" s="4">
        <v>0</v>
      </c>
      <c r="K19" s="13">
        <v>27.863500000000002</v>
      </c>
      <c r="L19" s="9">
        <v>0</v>
      </c>
      <c r="M19" s="4">
        <v>0</v>
      </c>
      <c r="N19" s="12">
        <v>20.045500000000001</v>
      </c>
    </row>
    <row r="20" spans="1:14" x14ac:dyDescent="0.25">
      <c r="A20" s="29"/>
      <c r="B20" s="1" t="s">
        <v>7</v>
      </c>
      <c r="C20" s="9">
        <v>0</v>
      </c>
      <c r="D20" s="4">
        <v>227</v>
      </c>
      <c r="E20" s="12">
        <v>88.18719999999999</v>
      </c>
      <c r="F20" s="9">
        <v>0</v>
      </c>
      <c r="G20" s="4">
        <v>60</v>
      </c>
      <c r="H20" s="12">
        <v>36.797333333333334</v>
      </c>
      <c r="I20" s="9">
        <v>0</v>
      </c>
      <c r="J20" s="4">
        <v>21</v>
      </c>
      <c r="K20" s="12">
        <v>77.701999999999998</v>
      </c>
      <c r="L20" s="9">
        <v>0</v>
      </c>
      <c r="M20" s="4">
        <v>21</v>
      </c>
      <c r="N20" s="12">
        <v>22.189499999999999</v>
      </c>
    </row>
    <row r="21" spans="1:14" x14ac:dyDescent="0.25">
      <c r="A21" s="27"/>
      <c r="B21" s="2" t="s">
        <v>8</v>
      </c>
      <c r="C21" s="9">
        <v>0</v>
      </c>
      <c r="D21" s="4">
        <v>37</v>
      </c>
      <c r="E21" s="13">
        <v>26.771800000000002</v>
      </c>
      <c r="F21" s="9">
        <v>0</v>
      </c>
      <c r="G21" s="4">
        <v>12</v>
      </c>
      <c r="H21" s="13">
        <v>16.077000000000002</v>
      </c>
      <c r="I21" s="9">
        <v>0</v>
      </c>
      <c r="J21" s="4">
        <v>15</v>
      </c>
      <c r="K21" s="12">
        <v>42.326999999999998</v>
      </c>
      <c r="L21" s="9">
        <v>0</v>
      </c>
      <c r="M21" s="4">
        <v>5</v>
      </c>
      <c r="N21" s="13">
        <v>7.3454999999999995</v>
      </c>
    </row>
    <row r="22" spans="1:14" ht="15.75" thickBot="1" x14ac:dyDescent="0.3">
      <c r="A22" s="28"/>
      <c r="B22" s="3" t="s">
        <v>9</v>
      </c>
      <c r="C22" s="10">
        <v>0</v>
      </c>
      <c r="D22" s="6">
        <v>3</v>
      </c>
      <c r="E22" s="14">
        <v>44.898600000000002</v>
      </c>
      <c r="F22" s="10">
        <v>0</v>
      </c>
      <c r="G22" s="6">
        <v>0</v>
      </c>
      <c r="H22" s="14">
        <v>31.757000000000001</v>
      </c>
      <c r="I22" s="10">
        <v>0</v>
      </c>
      <c r="J22" s="6">
        <v>0</v>
      </c>
      <c r="K22" s="14">
        <v>40.46</v>
      </c>
      <c r="L22" s="10">
        <v>0</v>
      </c>
      <c r="M22" s="6">
        <v>0</v>
      </c>
      <c r="N22" s="14">
        <v>16.573499999999999</v>
      </c>
    </row>
    <row r="23" spans="1:14" x14ac:dyDescent="0.25">
      <c r="A23" s="26" t="s">
        <v>12</v>
      </c>
      <c r="B23" s="7" t="s">
        <v>5</v>
      </c>
      <c r="C23" s="8">
        <v>15</v>
      </c>
      <c r="D23" s="5">
        <v>273</v>
      </c>
      <c r="E23" s="11">
        <v>157.15860000000004</v>
      </c>
      <c r="F23" s="8">
        <v>42</v>
      </c>
      <c r="G23" s="5">
        <v>110</v>
      </c>
      <c r="H23" s="11">
        <v>107.09566666666666</v>
      </c>
      <c r="I23" s="8">
        <v>4</v>
      </c>
      <c r="J23" s="5">
        <v>8</v>
      </c>
      <c r="K23" s="11">
        <v>112.268</v>
      </c>
      <c r="L23" s="8">
        <v>12</v>
      </c>
      <c r="M23" s="5">
        <v>24</v>
      </c>
      <c r="N23" s="11">
        <v>246.48149999999998</v>
      </c>
    </row>
    <row r="24" spans="1:14" x14ac:dyDescent="0.25">
      <c r="A24" s="29"/>
      <c r="B24" s="1" t="s">
        <v>6</v>
      </c>
      <c r="C24" s="9">
        <v>0</v>
      </c>
      <c r="D24" s="4">
        <v>3</v>
      </c>
      <c r="E24" s="13">
        <v>42.4148</v>
      </c>
      <c r="F24" s="9">
        <v>3</v>
      </c>
      <c r="G24" s="4">
        <v>11</v>
      </c>
      <c r="H24" s="12">
        <v>41.159666666666674</v>
      </c>
      <c r="I24" s="9">
        <v>0</v>
      </c>
      <c r="J24" s="4">
        <v>2</v>
      </c>
      <c r="K24" s="12">
        <v>69.332999999999998</v>
      </c>
      <c r="L24" s="9">
        <v>0</v>
      </c>
      <c r="M24" s="4">
        <v>2</v>
      </c>
      <c r="N24" s="12">
        <v>24.628</v>
      </c>
    </row>
    <row r="25" spans="1:14" x14ac:dyDescent="0.25">
      <c r="A25" s="29"/>
      <c r="B25" s="1" t="s">
        <v>7</v>
      </c>
      <c r="C25" s="9">
        <v>0</v>
      </c>
      <c r="D25" s="4">
        <v>236</v>
      </c>
      <c r="E25" s="12">
        <v>208.62439999999998</v>
      </c>
      <c r="F25" s="9">
        <v>0</v>
      </c>
      <c r="G25" s="4">
        <v>58</v>
      </c>
      <c r="H25" s="12">
        <v>59.111666666666672</v>
      </c>
      <c r="I25" s="9">
        <v>9</v>
      </c>
      <c r="J25" s="4">
        <v>27</v>
      </c>
      <c r="K25" s="12">
        <v>237.0025</v>
      </c>
      <c r="L25" s="9">
        <v>0</v>
      </c>
      <c r="M25" s="4">
        <v>28</v>
      </c>
      <c r="N25" s="12">
        <v>40.1</v>
      </c>
    </row>
    <row r="26" spans="1:14" x14ac:dyDescent="0.25">
      <c r="A26" s="27"/>
      <c r="B26" s="2" t="s">
        <v>8</v>
      </c>
      <c r="C26" s="9">
        <v>0</v>
      </c>
      <c r="D26" s="4">
        <v>61</v>
      </c>
      <c r="E26" s="12">
        <v>57.111599999999996</v>
      </c>
      <c r="F26" s="9">
        <v>0</v>
      </c>
      <c r="G26" s="4">
        <v>16</v>
      </c>
      <c r="H26" s="13">
        <v>33.736666666666665</v>
      </c>
      <c r="I26" s="9">
        <v>0</v>
      </c>
      <c r="J26" s="4">
        <v>13</v>
      </c>
      <c r="K26" s="12">
        <v>115.86449999999999</v>
      </c>
      <c r="L26" s="9">
        <v>0</v>
      </c>
      <c r="M26" s="4">
        <v>15</v>
      </c>
      <c r="N26" s="13">
        <v>16.868500000000001</v>
      </c>
    </row>
    <row r="27" spans="1:14" ht="15.75" thickBot="1" x14ac:dyDescent="0.3">
      <c r="A27" s="28"/>
      <c r="B27" s="3" t="s">
        <v>9</v>
      </c>
      <c r="C27" s="10">
        <v>0</v>
      </c>
      <c r="D27" s="6">
        <v>0</v>
      </c>
      <c r="E27" s="14">
        <v>73.557000000000002</v>
      </c>
      <c r="F27" s="10">
        <v>0</v>
      </c>
      <c r="G27" s="6">
        <v>0</v>
      </c>
      <c r="H27" s="14">
        <v>48.351333333333336</v>
      </c>
      <c r="I27" s="10">
        <v>0</v>
      </c>
      <c r="J27" s="6">
        <v>2</v>
      </c>
      <c r="K27" s="15">
        <v>68.578999999999994</v>
      </c>
      <c r="L27" s="10">
        <v>0</v>
      </c>
      <c r="M27" s="6">
        <v>3</v>
      </c>
      <c r="N27" s="14">
        <v>25.704999999999998</v>
      </c>
    </row>
    <row r="29" spans="1:14" x14ac:dyDescent="0.25">
      <c r="A29" t="s">
        <v>19</v>
      </c>
    </row>
    <row r="30" spans="1:14" x14ac:dyDescent="0.25">
      <c r="A30" t="s">
        <v>20</v>
      </c>
    </row>
    <row r="31" spans="1:14" x14ac:dyDescent="0.25">
      <c r="A31" t="s">
        <v>21</v>
      </c>
    </row>
    <row r="32" spans="1:14" x14ac:dyDescent="0.25">
      <c r="A32" t="s">
        <v>22</v>
      </c>
    </row>
  </sheetData>
  <mergeCells count="13">
    <mergeCell ref="A23:A27"/>
    <mergeCell ref="W1:X1"/>
    <mergeCell ref="Y1:Z1"/>
    <mergeCell ref="A3:A7"/>
    <mergeCell ref="A8:A12"/>
    <mergeCell ref="A13:A17"/>
    <mergeCell ref="A18:A22"/>
    <mergeCell ref="C1:E1"/>
    <mergeCell ref="F1:H1"/>
    <mergeCell ref="I1:K1"/>
    <mergeCell ref="L1:N1"/>
    <mergeCell ref="S1:T1"/>
    <mergeCell ref="U1:V1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2A3E-DFF3-4988-A42D-2B0DBD8B0C3A}">
  <dimension ref="A1:Z32"/>
  <sheetViews>
    <sheetView workbookViewId="0">
      <selection activeCell="E21" sqref="E21"/>
    </sheetView>
  </sheetViews>
  <sheetFormatPr baseColWidth="10" defaultRowHeight="15" x14ac:dyDescent="0.25"/>
  <cols>
    <col min="3" max="14" width="9.5703125" customWidth="1"/>
  </cols>
  <sheetData>
    <row r="1" spans="1:26" ht="15.75" thickBot="1" x14ac:dyDescent="0.3">
      <c r="C1" s="30" t="s">
        <v>0</v>
      </c>
      <c r="D1" s="31"/>
      <c r="E1" s="32"/>
      <c r="F1" s="23" t="s">
        <v>13</v>
      </c>
      <c r="G1" s="24"/>
      <c r="H1" s="25"/>
      <c r="I1" s="23" t="s">
        <v>15</v>
      </c>
      <c r="J1" s="24"/>
      <c r="K1" s="25"/>
      <c r="L1" s="23" t="s">
        <v>14</v>
      </c>
      <c r="M1" s="24"/>
      <c r="N1" s="25"/>
      <c r="R1" s="19" t="s">
        <v>9</v>
      </c>
      <c r="S1" s="33" t="s">
        <v>25</v>
      </c>
      <c r="T1" s="33"/>
      <c r="U1" s="33" t="s">
        <v>26</v>
      </c>
      <c r="V1" s="33"/>
      <c r="W1" s="33" t="s">
        <v>27</v>
      </c>
      <c r="X1" s="33"/>
      <c r="Y1" s="33" t="s">
        <v>28</v>
      </c>
      <c r="Z1" s="33"/>
    </row>
    <row r="2" spans="1:26" ht="30.75" thickBot="1" x14ac:dyDescent="0.3">
      <c r="A2" s="16" t="s">
        <v>3</v>
      </c>
      <c r="B2" s="17" t="s">
        <v>2</v>
      </c>
      <c r="C2" s="18" t="s">
        <v>16</v>
      </c>
      <c r="D2" s="18" t="s">
        <v>17</v>
      </c>
      <c r="E2" s="18" t="s">
        <v>18</v>
      </c>
      <c r="F2" s="18" t="s">
        <v>16</v>
      </c>
      <c r="G2" s="18" t="s">
        <v>17</v>
      </c>
      <c r="H2" s="18" t="s">
        <v>18</v>
      </c>
      <c r="I2" s="18" t="s">
        <v>16</v>
      </c>
      <c r="J2" s="18" t="s">
        <v>17</v>
      </c>
      <c r="K2" s="18" t="s">
        <v>18</v>
      </c>
      <c r="L2" s="18" t="s">
        <v>16</v>
      </c>
      <c r="M2" s="18" t="s">
        <v>17</v>
      </c>
      <c r="N2" s="18" t="s">
        <v>18</v>
      </c>
      <c r="R2" s="22" t="s">
        <v>29</v>
      </c>
      <c r="S2" s="22" t="s">
        <v>23</v>
      </c>
      <c r="T2" s="22" t="s">
        <v>24</v>
      </c>
      <c r="U2" s="22" t="s">
        <v>23</v>
      </c>
      <c r="V2" s="22" t="s">
        <v>24</v>
      </c>
      <c r="W2" s="22" t="s">
        <v>23</v>
      </c>
      <c r="X2" s="22" t="s">
        <v>24</v>
      </c>
      <c r="Y2" s="22" t="s">
        <v>23</v>
      </c>
      <c r="Z2" s="22" t="s">
        <v>24</v>
      </c>
    </row>
    <row r="3" spans="1:26" x14ac:dyDescent="0.25">
      <c r="A3" s="26" t="s">
        <v>1</v>
      </c>
      <c r="B3" s="7" t="s">
        <v>5</v>
      </c>
      <c r="C3" s="8">
        <v>0</v>
      </c>
      <c r="D3" s="5">
        <v>15</v>
      </c>
      <c r="E3" s="11">
        <v>20.6342</v>
      </c>
      <c r="F3" s="8">
        <v>3</v>
      </c>
      <c r="G3" s="5">
        <v>17</v>
      </c>
      <c r="H3" s="11">
        <v>28.052666666666667</v>
      </c>
      <c r="I3" s="8">
        <v>0</v>
      </c>
      <c r="J3" s="5">
        <v>8</v>
      </c>
      <c r="K3" s="11">
        <v>58.119</v>
      </c>
      <c r="L3" s="8">
        <v>3</v>
      </c>
      <c r="M3" s="5">
        <v>4</v>
      </c>
      <c r="N3" s="11">
        <v>22.875500000000002</v>
      </c>
      <c r="R3" s="4">
        <v>1</v>
      </c>
      <c r="S3" s="20">
        <f>C7+D7</f>
        <v>9</v>
      </c>
      <c r="T3" s="21">
        <f>E7</f>
        <v>14.234599999999997</v>
      </c>
      <c r="U3" s="20">
        <f>F7+G7</f>
        <v>1</v>
      </c>
      <c r="V3" s="21">
        <f>H7</f>
        <v>20.726666666666667</v>
      </c>
      <c r="W3" s="20">
        <f>I7+J7</f>
        <v>0</v>
      </c>
      <c r="X3" s="21">
        <f>K7</f>
        <v>20.797499999999999</v>
      </c>
      <c r="Y3" s="20">
        <f>L7+M7</f>
        <v>6</v>
      </c>
      <c r="Z3" s="21">
        <f>N7</f>
        <v>15.43</v>
      </c>
    </row>
    <row r="4" spans="1:26" x14ac:dyDescent="0.25">
      <c r="A4" s="27"/>
      <c r="B4" s="2" t="s">
        <v>6</v>
      </c>
      <c r="C4" s="9">
        <v>0</v>
      </c>
      <c r="D4" s="4">
        <v>8</v>
      </c>
      <c r="E4" s="12">
        <v>12.1792</v>
      </c>
      <c r="F4" s="9">
        <v>0</v>
      </c>
      <c r="G4" s="4">
        <v>0</v>
      </c>
      <c r="H4" s="12">
        <v>20.236999999999998</v>
      </c>
      <c r="I4" s="9">
        <v>0</v>
      </c>
      <c r="J4" s="4">
        <v>0</v>
      </c>
      <c r="K4" s="12">
        <v>20.944499999999998</v>
      </c>
      <c r="L4" s="9">
        <v>0</v>
      </c>
      <c r="M4" s="4">
        <v>0</v>
      </c>
      <c r="N4" s="12">
        <v>11.448499999999999</v>
      </c>
      <c r="R4" s="4">
        <v>2</v>
      </c>
      <c r="S4" s="20">
        <f>C12+D12</f>
        <v>0</v>
      </c>
      <c r="T4" s="21">
        <f>E12</f>
        <v>24.289399999999997</v>
      </c>
      <c r="U4" s="20">
        <f>F12+G12</f>
        <v>3</v>
      </c>
      <c r="V4" s="21">
        <f>H12</f>
        <v>18.475000000000001</v>
      </c>
      <c r="W4" s="20">
        <f>I12+J12</f>
        <v>0</v>
      </c>
      <c r="X4" s="21">
        <f>K12</f>
        <v>24.878999999999998</v>
      </c>
      <c r="Y4" s="20">
        <f>L12+M12</f>
        <v>0</v>
      </c>
      <c r="Z4" s="21">
        <f>N12</f>
        <v>12.811</v>
      </c>
    </row>
    <row r="5" spans="1:26" x14ac:dyDescent="0.25">
      <c r="A5" s="27"/>
      <c r="B5" s="2" t="s">
        <v>7</v>
      </c>
      <c r="C5" s="9">
        <v>0</v>
      </c>
      <c r="D5" s="4">
        <v>188</v>
      </c>
      <c r="E5" s="12">
        <v>12.6266</v>
      </c>
      <c r="F5" s="9">
        <v>0</v>
      </c>
      <c r="G5" s="4">
        <v>57</v>
      </c>
      <c r="H5" s="12">
        <v>10.080999999999998</v>
      </c>
      <c r="I5" s="9">
        <v>0</v>
      </c>
      <c r="J5" s="4">
        <v>22</v>
      </c>
      <c r="K5" s="12">
        <v>25.102499999999999</v>
      </c>
      <c r="L5" s="9">
        <v>0</v>
      </c>
      <c r="M5" s="4">
        <v>10</v>
      </c>
      <c r="N5" s="12">
        <v>4.3209999999999997</v>
      </c>
      <c r="R5" s="4">
        <v>3</v>
      </c>
      <c r="S5" s="20">
        <f>C17+D17</f>
        <v>0</v>
      </c>
      <c r="T5" s="21">
        <f>E17</f>
        <v>32.965400000000002</v>
      </c>
      <c r="U5" s="20">
        <f>F17+G17</f>
        <v>8</v>
      </c>
      <c r="V5" s="21">
        <f>H17</f>
        <v>21.445666666666668</v>
      </c>
      <c r="W5" s="20">
        <f>I17+J17</f>
        <v>0</v>
      </c>
      <c r="X5" s="21">
        <f>K17</f>
        <v>29.049500000000002</v>
      </c>
      <c r="Y5" s="20">
        <f>L17+M17</f>
        <v>0</v>
      </c>
      <c r="Z5" s="21">
        <f>N17</f>
        <v>14.488</v>
      </c>
    </row>
    <row r="6" spans="1:26" x14ac:dyDescent="0.25">
      <c r="A6" s="27"/>
      <c r="B6" s="2" t="s">
        <v>8</v>
      </c>
      <c r="C6" s="9">
        <v>0</v>
      </c>
      <c r="D6" s="4">
        <v>23</v>
      </c>
      <c r="E6" s="13">
        <v>2.7808000000000002</v>
      </c>
      <c r="F6" s="9">
        <v>0</v>
      </c>
      <c r="G6" s="4">
        <v>29</v>
      </c>
      <c r="H6" s="13">
        <v>7.1176666666666675</v>
      </c>
      <c r="I6" s="9">
        <v>0</v>
      </c>
      <c r="J6" s="4">
        <v>9</v>
      </c>
      <c r="K6" s="13">
        <v>8.472999999999999</v>
      </c>
      <c r="L6" s="9">
        <v>0</v>
      </c>
      <c r="M6" s="4">
        <v>4</v>
      </c>
      <c r="N6" s="13">
        <v>2.0529999999999999</v>
      </c>
      <c r="R6" s="4">
        <v>4</v>
      </c>
      <c r="S6" s="20">
        <f>C22+D22</f>
        <v>3</v>
      </c>
      <c r="T6" s="21">
        <f>E22</f>
        <v>44.898600000000002</v>
      </c>
      <c r="U6" s="20">
        <f>F22+G22</f>
        <v>0</v>
      </c>
      <c r="V6" s="21">
        <f>H22</f>
        <v>31.757000000000001</v>
      </c>
      <c r="W6" s="20">
        <f>I22+J22</f>
        <v>0</v>
      </c>
      <c r="X6" s="21">
        <f>K22</f>
        <v>40.46</v>
      </c>
      <c r="Y6" s="20">
        <f>L22+M22</f>
        <v>0</v>
      </c>
      <c r="Z6" s="21">
        <f>N22</f>
        <v>16.573499999999999</v>
      </c>
    </row>
    <row r="7" spans="1:26" ht="15.75" thickBot="1" x14ac:dyDescent="0.3">
      <c r="A7" s="28"/>
      <c r="B7" s="3" t="s">
        <v>9</v>
      </c>
      <c r="C7" s="10">
        <v>0</v>
      </c>
      <c r="D7" s="6">
        <v>9</v>
      </c>
      <c r="E7" s="14">
        <v>14.234599999999997</v>
      </c>
      <c r="F7" s="10">
        <v>0</v>
      </c>
      <c r="G7" s="6">
        <v>1</v>
      </c>
      <c r="H7" s="14">
        <v>20.726666666666667</v>
      </c>
      <c r="I7" s="10">
        <v>0</v>
      </c>
      <c r="J7" s="6">
        <v>0</v>
      </c>
      <c r="K7" s="14">
        <v>20.797499999999999</v>
      </c>
      <c r="L7" s="10">
        <v>0</v>
      </c>
      <c r="M7" s="6">
        <v>6</v>
      </c>
      <c r="N7" s="14">
        <v>15.43</v>
      </c>
      <c r="R7" s="4">
        <v>5</v>
      </c>
      <c r="S7" s="20">
        <f>C27+D27</f>
        <v>0</v>
      </c>
      <c r="T7" s="21">
        <f>E27</f>
        <v>73.557000000000002</v>
      </c>
      <c r="U7" s="20">
        <f>F27+G27</f>
        <v>0</v>
      </c>
      <c r="V7" s="21">
        <f>H27</f>
        <v>48.351333333333336</v>
      </c>
      <c r="W7" s="20">
        <f>I27+J27</f>
        <v>2</v>
      </c>
      <c r="X7" s="21">
        <f>K27</f>
        <v>68.578999999999994</v>
      </c>
      <c r="Y7" s="20">
        <f>L27+M27</f>
        <v>3</v>
      </c>
      <c r="Z7" s="21">
        <f>N27</f>
        <v>25.704999999999998</v>
      </c>
    </row>
    <row r="8" spans="1:26" x14ac:dyDescent="0.25">
      <c r="A8" s="26" t="s">
        <v>4</v>
      </c>
      <c r="B8" s="7" t="s">
        <v>5</v>
      </c>
      <c r="C8" s="8">
        <v>0</v>
      </c>
      <c r="D8" s="5">
        <v>9</v>
      </c>
      <c r="E8" s="11">
        <v>27.446400000000001</v>
      </c>
      <c r="F8" s="8">
        <v>15</v>
      </c>
      <c r="G8" s="5">
        <v>34</v>
      </c>
      <c r="H8" s="11">
        <v>34.238333333333337</v>
      </c>
      <c r="I8" s="8">
        <v>0</v>
      </c>
      <c r="J8" s="5">
        <v>8</v>
      </c>
      <c r="K8" s="11">
        <v>62.658999999999999</v>
      </c>
      <c r="L8" s="8">
        <v>6</v>
      </c>
      <c r="M8" s="5">
        <v>15</v>
      </c>
      <c r="N8" s="11">
        <v>32.042999999999999</v>
      </c>
    </row>
    <row r="9" spans="1:26" x14ac:dyDescent="0.25">
      <c r="A9" s="29"/>
      <c r="B9" s="1" t="s">
        <v>6</v>
      </c>
      <c r="C9" s="9">
        <v>0</v>
      </c>
      <c r="D9" s="4">
        <v>0</v>
      </c>
      <c r="E9" s="12">
        <v>18.651800000000001</v>
      </c>
      <c r="F9" s="9">
        <v>0</v>
      </c>
      <c r="G9" s="4">
        <v>0</v>
      </c>
      <c r="H9" s="12">
        <v>18.156333333333333</v>
      </c>
      <c r="I9" s="9">
        <v>0</v>
      </c>
      <c r="J9" s="4">
        <v>0</v>
      </c>
      <c r="K9" s="12">
        <v>18.381499999999999</v>
      </c>
      <c r="L9" s="9">
        <v>0</v>
      </c>
      <c r="M9" s="4">
        <v>0</v>
      </c>
      <c r="N9" s="12">
        <v>11.061500000000001</v>
      </c>
    </row>
    <row r="10" spans="1:26" x14ac:dyDescent="0.25">
      <c r="A10" s="29"/>
      <c r="B10" s="1" t="s">
        <v>7</v>
      </c>
      <c r="C10" s="9">
        <v>0</v>
      </c>
      <c r="D10" s="4">
        <v>201</v>
      </c>
      <c r="E10" s="12">
        <v>28.727800000000002</v>
      </c>
      <c r="F10" s="9">
        <v>0</v>
      </c>
      <c r="G10" s="4">
        <v>61</v>
      </c>
      <c r="H10" s="12">
        <v>11.328666666666669</v>
      </c>
      <c r="I10" s="9">
        <v>0</v>
      </c>
      <c r="J10" s="4">
        <v>21</v>
      </c>
      <c r="K10" s="12">
        <v>28.16</v>
      </c>
      <c r="L10" s="9">
        <v>0</v>
      </c>
      <c r="M10" s="4">
        <v>28</v>
      </c>
      <c r="N10" s="12">
        <v>10.3855</v>
      </c>
    </row>
    <row r="11" spans="1:26" x14ac:dyDescent="0.25">
      <c r="A11" s="27"/>
      <c r="B11" s="2" t="s">
        <v>8</v>
      </c>
      <c r="C11" s="9">
        <v>0</v>
      </c>
      <c r="D11" s="4">
        <v>19</v>
      </c>
      <c r="E11" s="13">
        <v>6.8275999999999994</v>
      </c>
      <c r="F11" s="9">
        <v>0</v>
      </c>
      <c r="G11" s="4">
        <v>42</v>
      </c>
      <c r="H11" s="13">
        <v>10.239333333333333</v>
      </c>
      <c r="I11" s="9">
        <v>0</v>
      </c>
      <c r="J11" s="4">
        <v>6</v>
      </c>
      <c r="K11" s="13">
        <v>8.6060000000000016</v>
      </c>
      <c r="L11" s="9">
        <v>0</v>
      </c>
      <c r="M11" s="4">
        <v>1</v>
      </c>
      <c r="N11" s="13">
        <v>2.246</v>
      </c>
    </row>
    <row r="12" spans="1:26" ht="15.75" thickBot="1" x14ac:dyDescent="0.3">
      <c r="A12" s="28"/>
      <c r="B12" s="3" t="s">
        <v>9</v>
      </c>
      <c r="C12" s="10">
        <v>0</v>
      </c>
      <c r="D12" s="6">
        <v>0</v>
      </c>
      <c r="E12" s="14">
        <v>24.289399999999997</v>
      </c>
      <c r="F12" s="10">
        <v>0</v>
      </c>
      <c r="G12" s="6">
        <v>3</v>
      </c>
      <c r="H12" s="14">
        <v>18.475000000000001</v>
      </c>
      <c r="I12" s="10">
        <v>0</v>
      </c>
      <c r="J12" s="6">
        <v>0</v>
      </c>
      <c r="K12" s="14">
        <v>24.878999999999998</v>
      </c>
      <c r="L12" s="10">
        <v>0</v>
      </c>
      <c r="M12" s="6">
        <v>0</v>
      </c>
      <c r="N12" s="14">
        <v>12.811</v>
      </c>
    </row>
    <row r="13" spans="1:26" x14ac:dyDescent="0.25">
      <c r="A13" s="26" t="s">
        <v>10</v>
      </c>
      <c r="B13" s="7" t="s">
        <v>5</v>
      </c>
      <c r="C13" s="8">
        <v>21</v>
      </c>
      <c r="D13" s="5">
        <v>39</v>
      </c>
      <c r="E13" s="11">
        <v>43.213000000000001</v>
      </c>
      <c r="F13" s="8">
        <v>0</v>
      </c>
      <c r="G13" s="5">
        <v>22</v>
      </c>
      <c r="H13" s="11">
        <v>32.008000000000003</v>
      </c>
      <c r="I13" s="8">
        <v>4</v>
      </c>
      <c r="J13" s="5">
        <v>4</v>
      </c>
      <c r="K13" s="11">
        <v>47.829000000000001</v>
      </c>
      <c r="L13" s="8">
        <v>0</v>
      </c>
      <c r="M13" s="5">
        <v>6</v>
      </c>
      <c r="N13" s="11">
        <v>25.389499999999998</v>
      </c>
    </row>
    <row r="14" spans="1:26" x14ac:dyDescent="0.25">
      <c r="A14" s="29"/>
      <c r="B14" s="1" t="s">
        <v>6</v>
      </c>
      <c r="C14" s="9">
        <v>0</v>
      </c>
      <c r="D14" s="4">
        <v>0</v>
      </c>
      <c r="E14" s="12">
        <v>23.866999999999997</v>
      </c>
      <c r="F14" s="9">
        <v>0</v>
      </c>
      <c r="G14" s="4">
        <v>0</v>
      </c>
      <c r="H14" s="12">
        <v>21.609666666666669</v>
      </c>
      <c r="I14" s="9">
        <v>0</v>
      </c>
      <c r="J14" s="4">
        <v>0</v>
      </c>
      <c r="K14" s="12">
        <v>21.009</v>
      </c>
      <c r="L14" s="9">
        <v>0</v>
      </c>
      <c r="M14" s="4">
        <v>0</v>
      </c>
      <c r="N14" s="12">
        <v>12.815</v>
      </c>
    </row>
    <row r="15" spans="1:26" x14ac:dyDescent="0.25">
      <c r="A15" s="29"/>
      <c r="B15" s="1" t="s">
        <v>7</v>
      </c>
      <c r="C15" s="9">
        <v>0</v>
      </c>
      <c r="D15" s="4">
        <v>201</v>
      </c>
      <c r="E15" s="12">
        <v>44.3902</v>
      </c>
      <c r="F15" s="9">
        <v>0</v>
      </c>
      <c r="G15" s="4">
        <v>53</v>
      </c>
      <c r="H15" s="12">
        <v>13.688666666666668</v>
      </c>
      <c r="I15" s="9">
        <v>0</v>
      </c>
      <c r="J15" s="4">
        <v>27</v>
      </c>
      <c r="K15" s="12">
        <v>60.691500000000005</v>
      </c>
      <c r="L15" s="9">
        <v>0</v>
      </c>
      <c r="M15" s="4">
        <v>15</v>
      </c>
      <c r="N15" s="12">
        <v>8.838000000000001</v>
      </c>
    </row>
    <row r="16" spans="1:26" x14ac:dyDescent="0.25">
      <c r="A16" s="27"/>
      <c r="B16" s="2" t="s">
        <v>8</v>
      </c>
      <c r="C16" s="9">
        <v>0</v>
      </c>
      <c r="D16" s="4">
        <v>30</v>
      </c>
      <c r="E16" s="13">
        <v>11.812200000000001</v>
      </c>
      <c r="F16" s="9">
        <v>0</v>
      </c>
      <c r="G16" s="4">
        <v>20</v>
      </c>
      <c r="H16" s="13">
        <v>7.7290000000000001</v>
      </c>
      <c r="I16" s="9">
        <v>0</v>
      </c>
      <c r="J16" s="4">
        <v>6</v>
      </c>
      <c r="K16" s="13">
        <v>12.189</v>
      </c>
      <c r="L16" s="9">
        <v>0</v>
      </c>
      <c r="M16" s="4">
        <v>6</v>
      </c>
      <c r="N16" s="13">
        <v>3.0569999999999999</v>
      </c>
    </row>
    <row r="17" spans="1:14" ht="15.75" thickBot="1" x14ac:dyDescent="0.3">
      <c r="A17" s="28"/>
      <c r="B17" s="3" t="s">
        <v>9</v>
      </c>
      <c r="C17" s="10">
        <v>0</v>
      </c>
      <c r="D17" s="6">
        <v>0</v>
      </c>
      <c r="E17" s="14">
        <v>32.965400000000002</v>
      </c>
      <c r="F17" s="10">
        <v>0</v>
      </c>
      <c r="G17" s="6">
        <v>8</v>
      </c>
      <c r="H17" s="14">
        <v>21.445666666666668</v>
      </c>
      <c r="I17" s="10">
        <v>0</v>
      </c>
      <c r="J17" s="6">
        <v>0</v>
      </c>
      <c r="K17" s="14">
        <v>29.049500000000002</v>
      </c>
      <c r="L17" s="10">
        <v>0</v>
      </c>
      <c r="M17" s="6">
        <v>0</v>
      </c>
      <c r="N17" s="14">
        <v>14.488</v>
      </c>
    </row>
    <row r="18" spans="1:14" x14ac:dyDescent="0.25">
      <c r="A18" s="26" t="s">
        <v>11</v>
      </c>
      <c r="B18" s="7" t="s">
        <v>5</v>
      </c>
      <c r="C18" s="8">
        <v>30</v>
      </c>
      <c r="D18" s="5">
        <v>68</v>
      </c>
      <c r="E18" s="11">
        <v>44.689400000000006</v>
      </c>
      <c r="F18" s="8">
        <v>6</v>
      </c>
      <c r="G18" s="5">
        <v>36</v>
      </c>
      <c r="H18" s="11">
        <v>51.801000000000009</v>
      </c>
      <c r="I18" s="8">
        <v>3</v>
      </c>
      <c r="J18" s="5">
        <v>7</v>
      </c>
      <c r="K18" s="11">
        <v>86.951999999999998</v>
      </c>
      <c r="L18" s="8">
        <v>0</v>
      </c>
      <c r="M18" s="5">
        <v>6</v>
      </c>
      <c r="N18" s="11">
        <v>33.594000000000001</v>
      </c>
    </row>
    <row r="19" spans="1:14" x14ac:dyDescent="0.25">
      <c r="A19" s="29"/>
      <c r="B19" s="1" t="s">
        <v>6</v>
      </c>
      <c r="C19" s="9">
        <v>0</v>
      </c>
      <c r="D19" s="4">
        <v>0</v>
      </c>
      <c r="E19" s="12">
        <v>29.6538</v>
      </c>
      <c r="F19" s="9">
        <v>0</v>
      </c>
      <c r="G19" s="4">
        <v>0</v>
      </c>
      <c r="H19" s="12">
        <v>29.847333333333335</v>
      </c>
      <c r="I19" s="9">
        <v>0</v>
      </c>
      <c r="J19" s="4">
        <v>0</v>
      </c>
      <c r="K19" s="13">
        <v>27.863500000000002</v>
      </c>
      <c r="L19" s="9">
        <v>0</v>
      </c>
      <c r="M19" s="4">
        <v>0</v>
      </c>
      <c r="N19" s="12">
        <v>20.045500000000001</v>
      </c>
    </row>
    <row r="20" spans="1:14" x14ac:dyDescent="0.25">
      <c r="A20" s="29"/>
      <c r="B20" s="1" t="s">
        <v>7</v>
      </c>
      <c r="C20" s="9">
        <v>0</v>
      </c>
      <c r="D20" s="4">
        <v>227</v>
      </c>
      <c r="E20" s="12">
        <v>88.18719999999999</v>
      </c>
      <c r="F20" s="9">
        <v>0</v>
      </c>
      <c r="G20" s="4">
        <v>60</v>
      </c>
      <c r="H20" s="12">
        <v>36.797333333333334</v>
      </c>
      <c r="I20" s="9">
        <v>0</v>
      </c>
      <c r="J20" s="4">
        <v>21</v>
      </c>
      <c r="K20" s="12">
        <v>77.701999999999998</v>
      </c>
      <c r="L20" s="9">
        <v>0</v>
      </c>
      <c r="M20" s="4">
        <v>21</v>
      </c>
      <c r="N20" s="12">
        <v>22.189499999999999</v>
      </c>
    </row>
    <row r="21" spans="1:14" x14ac:dyDescent="0.25">
      <c r="A21" s="27"/>
      <c r="B21" s="2" t="s">
        <v>8</v>
      </c>
      <c r="C21" s="9">
        <v>0</v>
      </c>
      <c r="D21" s="4">
        <v>37</v>
      </c>
      <c r="E21" s="13">
        <v>26.771800000000002</v>
      </c>
      <c r="F21" s="9">
        <v>0</v>
      </c>
      <c r="G21" s="4">
        <v>12</v>
      </c>
      <c r="H21" s="13">
        <v>16.077000000000002</v>
      </c>
      <c r="I21" s="9">
        <v>0</v>
      </c>
      <c r="J21" s="4">
        <v>15</v>
      </c>
      <c r="K21" s="12">
        <v>42.326999999999998</v>
      </c>
      <c r="L21" s="9">
        <v>0</v>
      </c>
      <c r="M21" s="4">
        <v>5</v>
      </c>
      <c r="N21" s="13">
        <v>7.3454999999999995</v>
      </c>
    </row>
    <row r="22" spans="1:14" ht="15.75" thickBot="1" x14ac:dyDescent="0.3">
      <c r="A22" s="28"/>
      <c r="B22" s="3" t="s">
        <v>9</v>
      </c>
      <c r="C22" s="10">
        <v>0</v>
      </c>
      <c r="D22" s="6">
        <v>3</v>
      </c>
      <c r="E22" s="14">
        <v>44.898600000000002</v>
      </c>
      <c r="F22" s="10">
        <v>0</v>
      </c>
      <c r="G22" s="6">
        <v>0</v>
      </c>
      <c r="H22" s="14">
        <v>31.757000000000001</v>
      </c>
      <c r="I22" s="10">
        <v>0</v>
      </c>
      <c r="J22" s="6">
        <v>0</v>
      </c>
      <c r="K22" s="14">
        <v>40.46</v>
      </c>
      <c r="L22" s="10">
        <v>0</v>
      </c>
      <c r="M22" s="6">
        <v>0</v>
      </c>
      <c r="N22" s="14">
        <v>16.573499999999999</v>
      </c>
    </row>
    <row r="23" spans="1:14" x14ac:dyDescent="0.25">
      <c r="A23" s="26" t="s">
        <v>12</v>
      </c>
      <c r="B23" s="7" t="s">
        <v>5</v>
      </c>
      <c r="C23" s="8">
        <v>15</v>
      </c>
      <c r="D23" s="5">
        <v>273</v>
      </c>
      <c r="E23" s="11">
        <v>157.15860000000004</v>
      </c>
      <c r="F23" s="8">
        <v>42</v>
      </c>
      <c r="G23" s="5">
        <v>110</v>
      </c>
      <c r="H23" s="11">
        <v>107.09566666666666</v>
      </c>
      <c r="I23" s="8">
        <v>4</v>
      </c>
      <c r="J23" s="5">
        <v>8</v>
      </c>
      <c r="K23" s="11">
        <v>112.268</v>
      </c>
      <c r="L23" s="8">
        <v>12</v>
      </c>
      <c r="M23" s="5">
        <v>24</v>
      </c>
      <c r="N23" s="11">
        <v>246.48149999999998</v>
      </c>
    </row>
    <row r="24" spans="1:14" x14ac:dyDescent="0.25">
      <c r="A24" s="29"/>
      <c r="B24" s="1" t="s">
        <v>6</v>
      </c>
      <c r="C24" s="9">
        <v>0</v>
      </c>
      <c r="D24" s="4">
        <v>3</v>
      </c>
      <c r="E24" s="13">
        <v>42.4148</v>
      </c>
      <c r="F24" s="9">
        <v>3</v>
      </c>
      <c r="G24" s="4">
        <v>11</v>
      </c>
      <c r="H24" s="12">
        <v>41.159666666666674</v>
      </c>
      <c r="I24" s="9">
        <v>0</v>
      </c>
      <c r="J24" s="4">
        <v>2</v>
      </c>
      <c r="K24" s="12">
        <v>69.332999999999998</v>
      </c>
      <c r="L24" s="9">
        <v>0</v>
      </c>
      <c r="M24" s="4">
        <v>2</v>
      </c>
      <c r="N24" s="12">
        <v>24.628</v>
      </c>
    </row>
    <row r="25" spans="1:14" x14ac:dyDescent="0.25">
      <c r="A25" s="29"/>
      <c r="B25" s="1" t="s">
        <v>7</v>
      </c>
      <c r="C25" s="9">
        <v>0</v>
      </c>
      <c r="D25" s="4">
        <v>236</v>
      </c>
      <c r="E25" s="12">
        <v>208.62439999999998</v>
      </c>
      <c r="F25" s="9">
        <v>0</v>
      </c>
      <c r="G25" s="4">
        <v>58</v>
      </c>
      <c r="H25" s="12">
        <v>59.111666666666672</v>
      </c>
      <c r="I25" s="9">
        <v>9</v>
      </c>
      <c r="J25" s="4">
        <v>27</v>
      </c>
      <c r="K25" s="12">
        <v>237.0025</v>
      </c>
      <c r="L25" s="9">
        <v>0</v>
      </c>
      <c r="M25" s="4">
        <v>28</v>
      </c>
      <c r="N25" s="12">
        <v>40.1</v>
      </c>
    </row>
    <row r="26" spans="1:14" x14ac:dyDescent="0.25">
      <c r="A26" s="27"/>
      <c r="B26" s="2" t="s">
        <v>8</v>
      </c>
      <c r="C26" s="9">
        <v>0</v>
      </c>
      <c r="D26" s="4">
        <v>61</v>
      </c>
      <c r="E26" s="12">
        <v>57.111599999999996</v>
      </c>
      <c r="F26" s="9">
        <v>0</v>
      </c>
      <c r="G26" s="4">
        <v>16</v>
      </c>
      <c r="H26" s="13">
        <v>33.736666666666665</v>
      </c>
      <c r="I26" s="9">
        <v>0</v>
      </c>
      <c r="J26" s="4">
        <v>13</v>
      </c>
      <c r="K26" s="12">
        <v>115.86449999999999</v>
      </c>
      <c r="L26" s="9">
        <v>0</v>
      </c>
      <c r="M26" s="4">
        <v>15</v>
      </c>
      <c r="N26" s="13">
        <v>16.868500000000001</v>
      </c>
    </row>
    <row r="27" spans="1:14" ht="15.75" thickBot="1" x14ac:dyDescent="0.3">
      <c r="A27" s="28"/>
      <c r="B27" s="3" t="s">
        <v>9</v>
      </c>
      <c r="C27" s="10">
        <v>0</v>
      </c>
      <c r="D27" s="6">
        <v>0</v>
      </c>
      <c r="E27" s="14">
        <v>73.557000000000002</v>
      </c>
      <c r="F27" s="10">
        <v>0</v>
      </c>
      <c r="G27" s="6">
        <v>0</v>
      </c>
      <c r="H27" s="14">
        <v>48.351333333333336</v>
      </c>
      <c r="I27" s="10">
        <v>0</v>
      </c>
      <c r="J27" s="6">
        <v>2</v>
      </c>
      <c r="K27" s="15">
        <v>68.578999999999994</v>
      </c>
      <c r="L27" s="10">
        <v>0</v>
      </c>
      <c r="M27" s="6">
        <v>3</v>
      </c>
      <c r="N27" s="14">
        <v>25.704999999999998</v>
      </c>
    </row>
    <row r="29" spans="1:14" x14ac:dyDescent="0.25">
      <c r="A29" t="s">
        <v>19</v>
      </c>
    </row>
    <row r="30" spans="1:14" x14ac:dyDescent="0.25">
      <c r="A30" t="s">
        <v>20</v>
      </c>
    </row>
    <row r="31" spans="1:14" x14ac:dyDescent="0.25">
      <c r="A31" t="s">
        <v>21</v>
      </c>
    </row>
    <row r="32" spans="1:14" x14ac:dyDescent="0.25">
      <c r="A32" t="s">
        <v>22</v>
      </c>
    </row>
  </sheetData>
  <mergeCells count="13">
    <mergeCell ref="A23:A27"/>
    <mergeCell ref="W1:X1"/>
    <mergeCell ref="Y1:Z1"/>
    <mergeCell ref="A3:A7"/>
    <mergeCell ref="A8:A12"/>
    <mergeCell ref="A13:A17"/>
    <mergeCell ref="A18:A22"/>
    <mergeCell ref="C1:E1"/>
    <mergeCell ref="F1:H1"/>
    <mergeCell ref="I1:K1"/>
    <mergeCell ref="L1:N1"/>
    <mergeCell ref="S1:T1"/>
    <mergeCell ref="U1:V1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0D42-296B-4460-9C3B-650509C374D5}">
  <dimension ref="A1:N32"/>
  <sheetViews>
    <sheetView workbookViewId="0">
      <selection activeCell="F21" sqref="F21"/>
    </sheetView>
  </sheetViews>
  <sheetFormatPr baseColWidth="10" defaultRowHeight="15" x14ac:dyDescent="0.25"/>
  <cols>
    <col min="3" max="14" width="9.5703125" customWidth="1"/>
  </cols>
  <sheetData>
    <row r="1" spans="1:14" ht="15.75" thickBot="1" x14ac:dyDescent="0.3">
      <c r="C1" s="30" t="s">
        <v>0</v>
      </c>
      <c r="D1" s="31"/>
      <c r="E1" s="32"/>
      <c r="F1" s="23" t="s">
        <v>13</v>
      </c>
      <c r="G1" s="24"/>
      <c r="H1" s="25"/>
      <c r="I1" s="23" t="s">
        <v>15</v>
      </c>
      <c r="J1" s="24"/>
      <c r="K1" s="25"/>
      <c r="L1" s="23" t="s">
        <v>14</v>
      </c>
      <c r="M1" s="24"/>
      <c r="N1" s="25"/>
    </row>
    <row r="2" spans="1:14" ht="30.75" thickBot="1" x14ac:dyDescent="0.3">
      <c r="A2" s="16" t="s">
        <v>3</v>
      </c>
      <c r="B2" s="17" t="s">
        <v>2</v>
      </c>
      <c r="C2" s="18" t="s">
        <v>31</v>
      </c>
      <c r="D2" s="18" t="s">
        <v>32</v>
      </c>
      <c r="E2" s="18" t="s">
        <v>18</v>
      </c>
      <c r="F2" s="18" t="s">
        <v>31</v>
      </c>
      <c r="G2" s="18" t="s">
        <v>32</v>
      </c>
      <c r="H2" s="18" t="s">
        <v>18</v>
      </c>
      <c r="I2" s="18" t="s">
        <v>31</v>
      </c>
      <c r="J2" s="18" t="s">
        <v>32</v>
      </c>
      <c r="K2" s="18" t="s">
        <v>18</v>
      </c>
      <c r="L2" s="18" t="s">
        <v>31</v>
      </c>
      <c r="M2" s="18" t="s">
        <v>32</v>
      </c>
      <c r="N2" s="18" t="s">
        <v>18</v>
      </c>
    </row>
    <row r="3" spans="1:14" x14ac:dyDescent="0.25">
      <c r="A3" s="26" t="s">
        <v>1</v>
      </c>
      <c r="B3" s="7" t="s">
        <v>5</v>
      </c>
      <c r="C3" s="8">
        <v>0</v>
      </c>
      <c r="D3" s="5">
        <v>15</v>
      </c>
      <c r="E3" s="11">
        <v>20.6342</v>
      </c>
      <c r="F3" s="8">
        <v>3</v>
      </c>
      <c r="G3" s="5">
        <v>17</v>
      </c>
      <c r="H3" s="11">
        <v>28.052666666666667</v>
      </c>
      <c r="I3" s="8">
        <v>0</v>
      </c>
      <c r="J3" s="5">
        <v>8</v>
      </c>
      <c r="K3" s="11">
        <v>58.119</v>
      </c>
      <c r="L3" s="8">
        <v>3</v>
      </c>
      <c r="M3" s="5">
        <v>4</v>
      </c>
      <c r="N3" s="11">
        <v>22.875500000000002</v>
      </c>
    </row>
    <row r="4" spans="1:14" x14ac:dyDescent="0.25">
      <c r="A4" s="27"/>
      <c r="B4" s="2" t="s">
        <v>6</v>
      </c>
      <c r="C4" s="9">
        <v>0</v>
      </c>
      <c r="D4" s="4">
        <v>8</v>
      </c>
      <c r="E4" s="12">
        <v>12.1792</v>
      </c>
      <c r="F4" s="9">
        <v>0</v>
      </c>
      <c r="G4" s="4">
        <v>0</v>
      </c>
      <c r="H4" s="12">
        <v>20.236999999999998</v>
      </c>
      <c r="I4" s="9">
        <v>0</v>
      </c>
      <c r="J4" s="4">
        <v>0</v>
      </c>
      <c r="K4" s="12">
        <v>20.944499999999998</v>
      </c>
      <c r="L4" s="9">
        <v>0</v>
      </c>
      <c r="M4" s="4">
        <v>0</v>
      </c>
      <c r="N4" s="12">
        <v>11.448499999999999</v>
      </c>
    </row>
    <row r="5" spans="1:14" x14ac:dyDescent="0.25">
      <c r="A5" s="27"/>
      <c r="B5" s="2" t="s">
        <v>7</v>
      </c>
      <c r="C5" s="9">
        <v>0</v>
      </c>
      <c r="D5" s="4">
        <v>188</v>
      </c>
      <c r="E5" s="12">
        <v>12.6266</v>
      </c>
      <c r="F5" s="9">
        <v>0</v>
      </c>
      <c r="G5" s="4">
        <v>57</v>
      </c>
      <c r="H5" s="12">
        <v>10.080999999999998</v>
      </c>
      <c r="I5" s="9">
        <v>0</v>
      </c>
      <c r="J5" s="4">
        <v>22</v>
      </c>
      <c r="K5" s="12">
        <v>25.102499999999999</v>
      </c>
      <c r="L5" s="9">
        <v>0</v>
      </c>
      <c r="M5" s="4">
        <v>10</v>
      </c>
      <c r="N5" s="12">
        <v>4.3209999999999997</v>
      </c>
    </row>
    <row r="6" spans="1:14" x14ac:dyDescent="0.25">
      <c r="A6" s="27"/>
      <c r="B6" s="2" t="s">
        <v>8</v>
      </c>
      <c r="C6" s="9">
        <v>0</v>
      </c>
      <c r="D6" s="4">
        <v>23</v>
      </c>
      <c r="E6" s="13">
        <v>2.7808000000000002</v>
      </c>
      <c r="F6" s="9">
        <v>0</v>
      </c>
      <c r="G6" s="4">
        <v>29</v>
      </c>
      <c r="H6" s="13">
        <v>7.1176666666666675</v>
      </c>
      <c r="I6" s="9">
        <v>0</v>
      </c>
      <c r="J6" s="4">
        <v>9</v>
      </c>
      <c r="K6" s="13">
        <v>8.472999999999999</v>
      </c>
      <c r="L6" s="9">
        <v>0</v>
      </c>
      <c r="M6" s="4">
        <v>4</v>
      </c>
      <c r="N6" s="13">
        <v>2.0529999999999999</v>
      </c>
    </row>
    <row r="7" spans="1:14" ht="15.75" thickBot="1" x14ac:dyDescent="0.3">
      <c r="A7" s="28"/>
      <c r="B7" s="3" t="s">
        <v>9</v>
      </c>
      <c r="C7" s="10">
        <v>0</v>
      </c>
      <c r="D7" s="6">
        <v>9</v>
      </c>
      <c r="E7" s="14">
        <v>14.234599999999997</v>
      </c>
      <c r="F7" s="10">
        <v>0</v>
      </c>
      <c r="G7" s="6">
        <v>1</v>
      </c>
      <c r="H7" s="14">
        <v>20.726666666666667</v>
      </c>
      <c r="I7" s="10">
        <v>0</v>
      </c>
      <c r="J7" s="6">
        <v>0</v>
      </c>
      <c r="K7" s="14">
        <v>20.797499999999999</v>
      </c>
      <c r="L7" s="10">
        <v>0</v>
      </c>
      <c r="M7" s="6">
        <v>6</v>
      </c>
      <c r="N7" s="14">
        <v>15.43</v>
      </c>
    </row>
    <row r="8" spans="1:14" x14ac:dyDescent="0.25">
      <c r="A8" s="26" t="s">
        <v>4</v>
      </c>
      <c r="B8" s="7" t="s">
        <v>5</v>
      </c>
      <c r="C8" s="8">
        <v>0</v>
      </c>
      <c r="D8" s="5">
        <v>9</v>
      </c>
      <c r="E8" s="11">
        <v>27.446400000000001</v>
      </c>
      <c r="F8" s="8">
        <v>15</v>
      </c>
      <c r="G8" s="5">
        <v>34</v>
      </c>
      <c r="H8" s="11">
        <v>34.238333333333337</v>
      </c>
      <c r="I8" s="8">
        <v>0</v>
      </c>
      <c r="J8" s="5">
        <v>8</v>
      </c>
      <c r="K8" s="11">
        <v>62.658999999999999</v>
      </c>
      <c r="L8" s="8">
        <v>6</v>
      </c>
      <c r="M8" s="5">
        <v>15</v>
      </c>
      <c r="N8" s="11">
        <v>32.042999999999999</v>
      </c>
    </row>
    <row r="9" spans="1:14" x14ac:dyDescent="0.25">
      <c r="A9" s="29"/>
      <c r="B9" s="1" t="s">
        <v>6</v>
      </c>
      <c r="C9" s="9">
        <v>0</v>
      </c>
      <c r="D9" s="4">
        <v>0</v>
      </c>
      <c r="E9" s="12">
        <v>18.651800000000001</v>
      </c>
      <c r="F9" s="9">
        <v>0</v>
      </c>
      <c r="G9" s="4">
        <v>0</v>
      </c>
      <c r="H9" s="12">
        <v>18.156333333333333</v>
      </c>
      <c r="I9" s="9">
        <v>0</v>
      </c>
      <c r="J9" s="4">
        <v>0</v>
      </c>
      <c r="K9" s="12">
        <v>18.381499999999999</v>
      </c>
      <c r="L9" s="9">
        <v>0</v>
      </c>
      <c r="M9" s="4">
        <v>0</v>
      </c>
      <c r="N9" s="12">
        <v>11.061500000000001</v>
      </c>
    </row>
    <row r="10" spans="1:14" x14ac:dyDescent="0.25">
      <c r="A10" s="29"/>
      <c r="B10" s="1" t="s">
        <v>7</v>
      </c>
      <c r="C10" s="9">
        <v>0</v>
      </c>
      <c r="D10" s="4">
        <v>201</v>
      </c>
      <c r="E10" s="12">
        <v>28.727800000000002</v>
      </c>
      <c r="F10" s="9">
        <v>0</v>
      </c>
      <c r="G10" s="4">
        <v>61</v>
      </c>
      <c r="H10" s="12">
        <v>11.328666666666669</v>
      </c>
      <c r="I10" s="9">
        <v>0</v>
      </c>
      <c r="J10" s="4">
        <v>21</v>
      </c>
      <c r="K10" s="12">
        <v>28.16</v>
      </c>
      <c r="L10" s="9">
        <v>0</v>
      </c>
      <c r="M10" s="4">
        <v>28</v>
      </c>
      <c r="N10" s="12">
        <v>10.3855</v>
      </c>
    </row>
    <row r="11" spans="1:14" x14ac:dyDescent="0.25">
      <c r="A11" s="27"/>
      <c r="B11" s="2" t="s">
        <v>8</v>
      </c>
      <c r="C11" s="9">
        <v>0</v>
      </c>
      <c r="D11" s="4">
        <v>19</v>
      </c>
      <c r="E11" s="13">
        <v>6.8275999999999994</v>
      </c>
      <c r="F11" s="9">
        <v>0</v>
      </c>
      <c r="G11" s="4">
        <v>42</v>
      </c>
      <c r="H11" s="13">
        <v>10.239333333333333</v>
      </c>
      <c r="I11" s="9">
        <v>0</v>
      </c>
      <c r="J11" s="4">
        <v>6</v>
      </c>
      <c r="K11" s="13">
        <v>8.6060000000000016</v>
      </c>
      <c r="L11" s="9">
        <v>0</v>
      </c>
      <c r="M11" s="4">
        <v>1</v>
      </c>
      <c r="N11" s="13">
        <v>2.246</v>
      </c>
    </row>
    <row r="12" spans="1:14" ht="15.75" thickBot="1" x14ac:dyDescent="0.3">
      <c r="A12" s="28"/>
      <c r="B12" s="3" t="s">
        <v>9</v>
      </c>
      <c r="C12" s="10">
        <v>0</v>
      </c>
      <c r="D12" s="6">
        <v>0</v>
      </c>
      <c r="E12" s="14">
        <v>24.289399999999997</v>
      </c>
      <c r="F12" s="10">
        <v>0</v>
      </c>
      <c r="G12" s="6">
        <v>3</v>
      </c>
      <c r="H12" s="14">
        <v>18.475000000000001</v>
      </c>
      <c r="I12" s="10">
        <v>0</v>
      </c>
      <c r="J12" s="6">
        <v>0</v>
      </c>
      <c r="K12" s="14">
        <v>24.878999999999998</v>
      </c>
      <c r="L12" s="10">
        <v>0</v>
      </c>
      <c r="M12" s="6">
        <v>0</v>
      </c>
      <c r="N12" s="14">
        <v>12.811</v>
      </c>
    </row>
    <row r="13" spans="1:14" x14ac:dyDescent="0.25">
      <c r="A13" s="26" t="s">
        <v>10</v>
      </c>
      <c r="B13" s="7" t="s">
        <v>5</v>
      </c>
      <c r="C13" s="8">
        <v>21</v>
      </c>
      <c r="D13" s="5">
        <v>39</v>
      </c>
      <c r="E13" s="11">
        <v>43.213000000000001</v>
      </c>
      <c r="F13" s="8">
        <v>0</v>
      </c>
      <c r="G13" s="5">
        <v>22</v>
      </c>
      <c r="H13" s="11">
        <v>32.008000000000003</v>
      </c>
      <c r="I13" s="8">
        <v>4</v>
      </c>
      <c r="J13" s="5">
        <v>4</v>
      </c>
      <c r="K13" s="11">
        <v>47.829000000000001</v>
      </c>
      <c r="L13" s="8">
        <v>0</v>
      </c>
      <c r="M13" s="5">
        <v>6</v>
      </c>
      <c r="N13" s="11">
        <v>25.389499999999998</v>
      </c>
    </row>
    <row r="14" spans="1:14" x14ac:dyDescent="0.25">
      <c r="A14" s="29"/>
      <c r="B14" s="1" t="s">
        <v>6</v>
      </c>
      <c r="C14" s="9">
        <v>0</v>
      </c>
      <c r="D14" s="4">
        <v>0</v>
      </c>
      <c r="E14" s="12">
        <v>23.866999999999997</v>
      </c>
      <c r="F14" s="9">
        <v>0</v>
      </c>
      <c r="G14" s="4">
        <v>0</v>
      </c>
      <c r="H14" s="12">
        <v>21.609666666666669</v>
      </c>
      <c r="I14" s="9">
        <v>0</v>
      </c>
      <c r="J14" s="4">
        <v>0</v>
      </c>
      <c r="K14" s="12">
        <v>21.009</v>
      </c>
      <c r="L14" s="9">
        <v>0</v>
      </c>
      <c r="M14" s="4">
        <v>0</v>
      </c>
      <c r="N14" s="12">
        <v>12.815</v>
      </c>
    </row>
    <row r="15" spans="1:14" x14ac:dyDescent="0.25">
      <c r="A15" s="29"/>
      <c r="B15" s="1" t="s">
        <v>7</v>
      </c>
      <c r="C15" s="9">
        <v>0</v>
      </c>
      <c r="D15" s="4">
        <v>201</v>
      </c>
      <c r="E15" s="12">
        <v>44.3902</v>
      </c>
      <c r="F15" s="9">
        <v>0</v>
      </c>
      <c r="G15" s="4">
        <v>53</v>
      </c>
      <c r="H15" s="12">
        <v>13.688666666666668</v>
      </c>
      <c r="I15" s="9">
        <v>0</v>
      </c>
      <c r="J15" s="4">
        <v>27</v>
      </c>
      <c r="K15" s="12">
        <v>60.691500000000005</v>
      </c>
      <c r="L15" s="9">
        <v>0</v>
      </c>
      <c r="M15" s="4">
        <v>15</v>
      </c>
      <c r="N15" s="12">
        <v>8.838000000000001</v>
      </c>
    </row>
    <row r="16" spans="1:14" x14ac:dyDescent="0.25">
      <c r="A16" s="27"/>
      <c r="B16" s="2" t="s">
        <v>8</v>
      </c>
      <c r="C16" s="9">
        <v>0</v>
      </c>
      <c r="D16" s="4">
        <v>30</v>
      </c>
      <c r="E16" s="13">
        <v>11.812200000000001</v>
      </c>
      <c r="F16" s="9">
        <v>0</v>
      </c>
      <c r="G16" s="4">
        <v>20</v>
      </c>
      <c r="H16" s="13">
        <v>7.7290000000000001</v>
      </c>
      <c r="I16" s="9">
        <v>0</v>
      </c>
      <c r="J16" s="4">
        <v>6</v>
      </c>
      <c r="K16" s="13">
        <v>12.189</v>
      </c>
      <c r="L16" s="9">
        <v>0</v>
      </c>
      <c r="M16" s="4">
        <v>6</v>
      </c>
      <c r="N16" s="13">
        <v>3.0569999999999999</v>
      </c>
    </row>
    <row r="17" spans="1:14" ht="15.75" thickBot="1" x14ac:dyDescent="0.3">
      <c r="A17" s="28"/>
      <c r="B17" s="3" t="s">
        <v>9</v>
      </c>
      <c r="C17" s="10">
        <v>0</v>
      </c>
      <c r="D17" s="6">
        <v>0</v>
      </c>
      <c r="E17" s="14">
        <v>32.965400000000002</v>
      </c>
      <c r="F17" s="10">
        <v>0</v>
      </c>
      <c r="G17" s="6">
        <v>8</v>
      </c>
      <c r="H17" s="14">
        <v>21.445666666666668</v>
      </c>
      <c r="I17" s="10">
        <v>0</v>
      </c>
      <c r="J17" s="6">
        <v>0</v>
      </c>
      <c r="K17" s="14">
        <v>29.049500000000002</v>
      </c>
      <c r="L17" s="10">
        <v>0</v>
      </c>
      <c r="M17" s="6">
        <v>0</v>
      </c>
      <c r="N17" s="14">
        <v>14.488</v>
      </c>
    </row>
    <row r="18" spans="1:14" x14ac:dyDescent="0.25">
      <c r="A18" s="26" t="s">
        <v>11</v>
      </c>
      <c r="B18" s="7" t="s">
        <v>5</v>
      </c>
      <c r="C18" s="8">
        <v>30</v>
      </c>
      <c r="D18" s="5">
        <v>68</v>
      </c>
      <c r="E18" s="11">
        <v>44.689400000000006</v>
      </c>
      <c r="F18" s="8">
        <v>6</v>
      </c>
      <c r="G18" s="5">
        <v>36</v>
      </c>
      <c r="H18" s="11">
        <v>51.801000000000009</v>
      </c>
      <c r="I18" s="8">
        <v>3</v>
      </c>
      <c r="J18" s="5">
        <v>7</v>
      </c>
      <c r="K18" s="11">
        <v>86.951999999999998</v>
      </c>
      <c r="L18" s="8">
        <v>0</v>
      </c>
      <c r="M18" s="5">
        <v>6</v>
      </c>
      <c r="N18" s="11">
        <v>33.594000000000001</v>
      </c>
    </row>
    <row r="19" spans="1:14" x14ac:dyDescent="0.25">
      <c r="A19" s="29"/>
      <c r="B19" s="1" t="s">
        <v>6</v>
      </c>
      <c r="C19" s="9">
        <v>0</v>
      </c>
      <c r="D19" s="4">
        <v>0</v>
      </c>
      <c r="E19" s="12">
        <v>29.6538</v>
      </c>
      <c r="F19" s="9">
        <v>0</v>
      </c>
      <c r="G19" s="4">
        <v>0</v>
      </c>
      <c r="H19" s="12">
        <v>29.847333333333335</v>
      </c>
      <c r="I19" s="9">
        <v>0</v>
      </c>
      <c r="J19" s="4">
        <v>0</v>
      </c>
      <c r="K19" s="13">
        <v>27.863500000000002</v>
      </c>
      <c r="L19" s="9">
        <v>0</v>
      </c>
      <c r="M19" s="4">
        <v>0</v>
      </c>
      <c r="N19" s="12">
        <v>20.045500000000001</v>
      </c>
    </row>
    <row r="20" spans="1:14" x14ac:dyDescent="0.25">
      <c r="A20" s="29"/>
      <c r="B20" s="1" t="s">
        <v>7</v>
      </c>
      <c r="C20" s="9">
        <v>0</v>
      </c>
      <c r="D20" s="4">
        <v>227</v>
      </c>
      <c r="E20" s="12">
        <v>88.18719999999999</v>
      </c>
      <c r="F20" s="9">
        <v>0</v>
      </c>
      <c r="G20" s="4">
        <v>60</v>
      </c>
      <c r="H20" s="12">
        <v>36.797333333333334</v>
      </c>
      <c r="I20" s="9">
        <v>0</v>
      </c>
      <c r="J20" s="4">
        <v>21</v>
      </c>
      <c r="K20" s="12">
        <v>77.701999999999998</v>
      </c>
      <c r="L20" s="9">
        <v>0</v>
      </c>
      <c r="M20" s="4">
        <v>21</v>
      </c>
      <c r="N20" s="12">
        <v>22.189499999999999</v>
      </c>
    </row>
    <row r="21" spans="1:14" x14ac:dyDescent="0.25">
      <c r="A21" s="27"/>
      <c r="B21" s="2" t="s">
        <v>8</v>
      </c>
      <c r="C21" s="9">
        <v>0</v>
      </c>
      <c r="D21" s="4">
        <v>37</v>
      </c>
      <c r="E21" s="13">
        <v>26.771800000000002</v>
      </c>
      <c r="F21" s="9">
        <v>0</v>
      </c>
      <c r="G21" s="4">
        <v>12</v>
      </c>
      <c r="H21" s="13">
        <v>16.077000000000002</v>
      </c>
      <c r="I21" s="9">
        <v>0</v>
      </c>
      <c r="J21" s="4">
        <v>15</v>
      </c>
      <c r="K21" s="12">
        <v>42.326999999999998</v>
      </c>
      <c r="L21" s="9">
        <v>0</v>
      </c>
      <c r="M21" s="4">
        <v>5</v>
      </c>
      <c r="N21" s="13">
        <v>7.3454999999999995</v>
      </c>
    </row>
    <row r="22" spans="1:14" ht="15.75" thickBot="1" x14ac:dyDescent="0.3">
      <c r="A22" s="28"/>
      <c r="B22" s="3" t="s">
        <v>9</v>
      </c>
      <c r="C22" s="10">
        <v>0</v>
      </c>
      <c r="D22" s="6">
        <v>3</v>
      </c>
      <c r="E22" s="14">
        <v>44.898600000000002</v>
      </c>
      <c r="F22" s="10">
        <v>0</v>
      </c>
      <c r="G22" s="6">
        <v>0</v>
      </c>
      <c r="H22" s="14">
        <v>31.757000000000001</v>
      </c>
      <c r="I22" s="10">
        <v>0</v>
      </c>
      <c r="J22" s="6">
        <v>0</v>
      </c>
      <c r="K22" s="12">
        <v>40.46</v>
      </c>
      <c r="L22" s="10">
        <v>0</v>
      </c>
      <c r="M22" s="6">
        <v>0</v>
      </c>
      <c r="N22" s="14">
        <v>16.573499999999999</v>
      </c>
    </row>
    <row r="23" spans="1:14" x14ac:dyDescent="0.25">
      <c r="A23" s="26" t="s">
        <v>12</v>
      </c>
      <c r="B23" s="7" t="s">
        <v>5</v>
      </c>
      <c r="C23" s="8">
        <v>15</v>
      </c>
      <c r="D23" s="5">
        <v>273</v>
      </c>
      <c r="E23" s="11">
        <v>157.15860000000004</v>
      </c>
      <c r="F23" s="8">
        <v>42</v>
      </c>
      <c r="G23" s="5">
        <v>110</v>
      </c>
      <c r="H23" s="11">
        <v>107.09566666666666</v>
      </c>
      <c r="I23" s="8">
        <v>4</v>
      </c>
      <c r="J23" s="5">
        <v>8</v>
      </c>
      <c r="K23" s="11">
        <v>112.268</v>
      </c>
      <c r="L23" s="8">
        <v>12</v>
      </c>
      <c r="M23" s="5">
        <v>24</v>
      </c>
      <c r="N23" s="11">
        <v>246.48149999999998</v>
      </c>
    </row>
    <row r="24" spans="1:14" x14ac:dyDescent="0.25">
      <c r="A24" s="29"/>
      <c r="B24" s="1" t="s">
        <v>6</v>
      </c>
      <c r="C24" s="9">
        <v>0</v>
      </c>
      <c r="D24" s="4">
        <v>3</v>
      </c>
      <c r="E24" s="13">
        <v>42.4148</v>
      </c>
      <c r="F24" s="9">
        <v>3</v>
      </c>
      <c r="G24" s="4">
        <v>11</v>
      </c>
      <c r="H24" s="12">
        <v>41.159666666666674</v>
      </c>
      <c r="I24" s="9">
        <v>0</v>
      </c>
      <c r="J24" s="4">
        <v>2</v>
      </c>
      <c r="K24" s="12">
        <v>69.332999999999998</v>
      </c>
      <c r="L24" s="9">
        <v>0</v>
      </c>
      <c r="M24" s="4">
        <v>2</v>
      </c>
      <c r="N24" s="12">
        <v>24.628</v>
      </c>
    </row>
    <row r="25" spans="1:14" x14ac:dyDescent="0.25">
      <c r="A25" s="29"/>
      <c r="B25" s="1" t="s">
        <v>7</v>
      </c>
      <c r="C25" s="9">
        <v>0</v>
      </c>
      <c r="D25" s="4">
        <v>236</v>
      </c>
      <c r="E25" s="12">
        <v>208.62439999999998</v>
      </c>
      <c r="F25" s="9">
        <v>0</v>
      </c>
      <c r="G25" s="4">
        <v>58</v>
      </c>
      <c r="H25" s="12">
        <v>59.111666666666672</v>
      </c>
      <c r="I25" s="9">
        <v>9</v>
      </c>
      <c r="J25" s="4">
        <v>27</v>
      </c>
      <c r="K25" s="12">
        <v>237.0025</v>
      </c>
      <c r="L25" s="9">
        <v>0</v>
      </c>
      <c r="M25" s="4">
        <v>28</v>
      </c>
      <c r="N25" s="12">
        <v>40.1</v>
      </c>
    </row>
    <row r="26" spans="1:14" x14ac:dyDescent="0.25">
      <c r="A26" s="27"/>
      <c r="B26" s="2" t="s">
        <v>8</v>
      </c>
      <c r="C26" s="9">
        <v>0</v>
      </c>
      <c r="D26" s="4">
        <v>61</v>
      </c>
      <c r="E26" s="12">
        <v>57.111599999999996</v>
      </c>
      <c r="F26" s="9">
        <v>0</v>
      </c>
      <c r="G26" s="4">
        <v>16</v>
      </c>
      <c r="H26" s="13">
        <v>33.736666666666665</v>
      </c>
      <c r="I26" s="9">
        <v>0</v>
      </c>
      <c r="J26" s="4">
        <v>13</v>
      </c>
      <c r="K26" s="12">
        <v>115.86449999999999</v>
      </c>
      <c r="L26" s="9">
        <v>0</v>
      </c>
      <c r="M26" s="4">
        <v>15</v>
      </c>
      <c r="N26" s="13">
        <v>16.868500000000001</v>
      </c>
    </row>
    <row r="27" spans="1:14" ht="15.75" thickBot="1" x14ac:dyDescent="0.3">
      <c r="A27" s="28"/>
      <c r="B27" s="3" t="s">
        <v>9</v>
      </c>
      <c r="C27" s="10">
        <v>0</v>
      </c>
      <c r="D27" s="6">
        <v>0</v>
      </c>
      <c r="E27" s="14">
        <v>73.557000000000002</v>
      </c>
      <c r="F27" s="10">
        <v>0</v>
      </c>
      <c r="G27" s="6">
        <v>0</v>
      </c>
      <c r="H27" s="14">
        <v>48.351333333333336</v>
      </c>
      <c r="I27" s="10">
        <v>0</v>
      </c>
      <c r="J27" s="6">
        <v>2</v>
      </c>
      <c r="K27" s="15">
        <v>68.578999999999994</v>
      </c>
      <c r="L27" s="10">
        <v>0</v>
      </c>
      <c r="M27" s="6">
        <v>3</v>
      </c>
      <c r="N27" s="14">
        <v>25.704999999999998</v>
      </c>
    </row>
    <row r="29" spans="1:14" x14ac:dyDescent="0.25">
      <c r="A29" t="s">
        <v>19</v>
      </c>
    </row>
    <row r="30" spans="1:14" x14ac:dyDescent="0.25">
      <c r="A30" t="s">
        <v>30</v>
      </c>
    </row>
    <row r="31" spans="1:14" x14ac:dyDescent="0.25">
      <c r="A31" t="s">
        <v>21</v>
      </c>
    </row>
    <row r="32" spans="1:14" x14ac:dyDescent="0.25">
      <c r="A32" t="s">
        <v>22</v>
      </c>
    </row>
  </sheetData>
  <mergeCells count="9">
    <mergeCell ref="A18:A22"/>
    <mergeCell ref="A23:A27"/>
    <mergeCell ref="C1:E1"/>
    <mergeCell ref="F1:H1"/>
    <mergeCell ref="I1:K1"/>
    <mergeCell ref="L1:N1"/>
    <mergeCell ref="A3:A7"/>
    <mergeCell ref="A8:A12"/>
    <mergeCell ref="A13:A1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F864-C1EE-4DFE-B144-5EFD1FF6B4F7}">
  <dimension ref="A1:U32"/>
  <sheetViews>
    <sheetView workbookViewId="0">
      <selection activeCell="U7" sqref="U7"/>
    </sheetView>
  </sheetViews>
  <sheetFormatPr baseColWidth="10" defaultRowHeight="15" x14ac:dyDescent="0.25"/>
  <cols>
    <col min="3" max="14" width="9.5703125" customWidth="1"/>
  </cols>
  <sheetData>
    <row r="1" spans="1:21" ht="15.75" thickBot="1" x14ac:dyDescent="0.3">
      <c r="C1" s="30" t="s">
        <v>0</v>
      </c>
      <c r="D1" s="31"/>
      <c r="E1" s="32"/>
      <c r="F1" s="23" t="s">
        <v>13</v>
      </c>
      <c r="G1" s="24"/>
      <c r="H1" s="25"/>
      <c r="I1" s="23" t="s">
        <v>15</v>
      </c>
      <c r="J1" s="24"/>
      <c r="K1" s="25"/>
      <c r="L1" s="23" t="s">
        <v>14</v>
      </c>
      <c r="M1" s="24"/>
      <c r="N1" s="25"/>
    </row>
    <row r="2" spans="1:21" ht="30.75" thickBot="1" x14ac:dyDescent="0.3">
      <c r="A2" s="16" t="s">
        <v>3</v>
      </c>
      <c r="B2" s="17" t="s">
        <v>2</v>
      </c>
      <c r="C2" s="18" t="s">
        <v>31</v>
      </c>
      <c r="D2" s="18" t="s">
        <v>32</v>
      </c>
      <c r="E2" s="18" t="s">
        <v>18</v>
      </c>
      <c r="F2" s="18" t="s">
        <v>31</v>
      </c>
      <c r="G2" s="18" t="s">
        <v>32</v>
      </c>
      <c r="H2" s="18" t="s">
        <v>18</v>
      </c>
      <c r="I2" s="18" t="s">
        <v>31</v>
      </c>
      <c r="J2" s="18" t="s">
        <v>32</v>
      </c>
      <c r="K2" s="18" t="s">
        <v>18</v>
      </c>
      <c r="L2" s="18" t="s">
        <v>31</v>
      </c>
      <c r="M2" s="18" t="s">
        <v>32</v>
      </c>
      <c r="N2" s="18" t="s">
        <v>18</v>
      </c>
      <c r="P2" s="41" t="s">
        <v>2</v>
      </c>
      <c r="Q2" s="37" t="s">
        <v>25</v>
      </c>
      <c r="R2" s="34" t="s">
        <v>33</v>
      </c>
      <c r="S2" s="34" t="s">
        <v>34</v>
      </c>
      <c r="T2" s="42" t="s">
        <v>28</v>
      </c>
      <c r="U2" s="41" t="s">
        <v>35</v>
      </c>
    </row>
    <row r="3" spans="1:21" x14ac:dyDescent="0.25">
      <c r="A3" s="26" t="s">
        <v>1</v>
      </c>
      <c r="B3" s="7" t="s">
        <v>5</v>
      </c>
      <c r="C3" s="8">
        <v>0</v>
      </c>
      <c r="D3" s="5">
        <v>15</v>
      </c>
      <c r="E3" s="11">
        <v>20.6342</v>
      </c>
      <c r="F3" s="8">
        <v>3</v>
      </c>
      <c r="G3" s="5">
        <v>17</v>
      </c>
      <c r="H3" s="11">
        <v>28.052666666666667</v>
      </c>
      <c r="I3" s="8">
        <v>0</v>
      </c>
      <c r="J3" s="5">
        <v>8</v>
      </c>
      <c r="K3" s="11">
        <v>58.119</v>
      </c>
      <c r="L3" s="8">
        <v>3</v>
      </c>
      <c r="M3" s="5">
        <v>4</v>
      </c>
      <c r="N3" s="11">
        <v>22.875500000000002</v>
      </c>
      <c r="P3" s="1" t="s">
        <v>5</v>
      </c>
      <c r="Q3" s="38">
        <f>E23-E3</f>
        <v>136.52440000000004</v>
      </c>
      <c r="R3" s="35">
        <f>H23-H3</f>
        <v>79.042999999999992</v>
      </c>
      <c r="S3" s="35">
        <f>K23-K3</f>
        <v>54.149000000000001</v>
      </c>
      <c r="T3" s="43">
        <f>N23-N3</f>
        <v>223.60599999999999</v>
      </c>
      <c r="U3" s="48">
        <f>(Q3+R3+S3+T3)/4</f>
        <v>123.3306</v>
      </c>
    </row>
    <row r="4" spans="1:21" x14ac:dyDescent="0.25">
      <c r="A4" s="27"/>
      <c r="B4" s="2" t="s">
        <v>6</v>
      </c>
      <c r="C4" s="9">
        <v>0</v>
      </c>
      <c r="D4" s="4">
        <v>8</v>
      </c>
      <c r="E4" s="12">
        <v>12.1792</v>
      </c>
      <c r="F4" s="9">
        <v>0</v>
      </c>
      <c r="G4" s="4">
        <v>0</v>
      </c>
      <c r="H4" s="12">
        <v>20.236999999999998</v>
      </c>
      <c r="I4" s="9">
        <v>0</v>
      </c>
      <c r="J4" s="4">
        <v>0</v>
      </c>
      <c r="K4" s="12">
        <v>20.944499999999998</v>
      </c>
      <c r="L4" s="9">
        <v>0</v>
      </c>
      <c r="M4" s="4">
        <v>0</v>
      </c>
      <c r="N4" s="12">
        <v>11.448499999999999</v>
      </c>
      <c r="P4" s="2" t="s">
        <v>6</v>
      </c>
      <c r="Q4" s="39">
        <f t="shared" ref="Q4:Q7" si="0">E24-E4</f>
        <v>30.235599999999998</v>
      </c>
      <c r="R4" s="21">
        <f t="shared" ref="R4:R7" si="1">H24-H4</f>
        <v>20.922666666666675</v>
      </c>
      <c r="S4" s="21">
        <f t="shared" ref="S4:S7" si="2">K24-K4</f>
        <v>48.388500000000001</v>
      </c>
      <c r="T4" s="44">
        <f t="shared" ref="T4:T7" si="3">N24-N4</f>
        <v>13.179500000000001</v>
      </c>
      <c r="U4" s="46">
        <f t="shared" ref="U4:U7" si="4">(Q4+R4+S4+T4)/4</f>
        <v>28.181566666666672</v>
      </c>
    </row>
    <row r="5" spans="1:21" x14ac:dyDescent="0.25">
      <c r="A5" s="27"/>
      <c r="B5" s="2" t="s">
        <v>7</v>
      </c>
      <c r="C5" s="9">
        <v>0</v>
      </c>
      <c r="D5" s="4">
        <v>188</v>
      </c>
      <c r="E5" s="12">
        <v>12.6266</v>
      </c>
      <c r="F5" s="9">
        <v>0</v>
      </c>
      <c r="G5" s="4">
        <v>57</v>
      </c>
      <c r="H5" s="12">
        <v>10.080999999999998</v>
      </c>
      <c r="I5" s="9">
        <v>0</v>
      </c>
      <c r="J5" s="4">
        <v>22</v>
      </c>
      <c r="K5" s="12">
        <v>25.102499999999999</v>
      </c>
      <c r="L5" s="9">
        <v>0</v>
      </c>
      <c r="M5" s="4">
        <v>10</v>
      </c>
      <c r="N5" s="12">
        <v>4.3209999999999997</v>
      </c>
      <c r="P5" s="2" t="s">
        <v>7</v>
      </c>
      <c r="Q5" s="39">
        <f t="shared" si="0"/>
        <v>195.99779999999998</v>
      </c>
      <c r="R5" s="21">
        <f t="shared" si="1"/>
        <v>49.030666666666676</v>
      </c>
      <c r="S5" s="21">
        <f t="shared" si="2"/>
        <v>211.9</v>
      </c>
      <c r="T5" s="44">
        <f t="shared" si="3"/>
        <v>35.779000000000003</v>
      </c>
      <c r="U5" s="46">
        <f t="shared" si="4"/>
        <v>123.17686666666665</v>
      </c>
    </row>
    <row r="6" spans="1:21" x14ac:dyDescent="0.25">
      <c r="A6" s="27"/>
      <c r="B6" s="2" t="s">
        <v>8</v>
      </c>
      <c r="C6" s="9">
        <v>0</v>
      </c>
      <c r="D6" s="4">
        <v>23</v>
      </c>
      <c r="E6" s="13">
        <v>2.7808000000000002</v>
      </c>
      <c r="F6" s="9">
        <v>0</v>
      </c>
      <c r="G6" s="4">
        <v>29</v>
      </c>
      <c r="H6" s="13">
        <v>7.1176666666666675</v>
      </c>
      <c r="I6" s="9">
        <v>0</v>
      </c>
      <c r="J6" s="4">
        <v>9</v>
      </c>
      <c r="K6" s="13">
        <v>8.472999999999999</v>
      </c>
      <c r="L6" s="9">
        <v>0</v>
      </c>
      <c r="M6" s="4">
        <v>4</v>
      </c>
      <c r="N6" s="13">
        <v>2.0529999999999999</v>
      </c>
      <c r="P6" s="2" t="s">
        <v>8</v>
      </c>
      <c r="Q6" s="39">
        <f t="shared" si="0"/>
        <v>54.330799999999996</v>
      </c>
      <c r="R6" s="21">
        <f t="shared" si="1"/>
        <v>26.618999999999996</v>
      </c>
      <c r="S6" s="21">
        <f t="shared" si="2"/>
        <v>107.39149999999999</v>
      </c>
      <c r="T6" s="44">
        <f t="shared" si="3"/>
        <v>14.8155</v>
      </c>
      <c r="U6" s="46">
        <f t="shared" si="4"/>
        <v>50.789199999999994</v>
      </c>
    </row>
    <row r="7" spans="1:21" ht="15.75" thickBot="1" x14ac:dyDescent="0.3">
      <c r="A7" s="28"/>
      <c r="B7" s="3" t="s">
        <v>9</v>
      </c>
      <c r="C7" s="10">
        <v>0</v>
      </c>
      <c r="D7" s="6">
        <v>9</v>
      </c>
      <c r="E7" s="14">
        <v>14.234599999999997</v>
      </c>
      <c r="F7" s="10">
        <v>0</v>
      </c>
      <c r="G7" s="6">
        <v>1</v>
      </c>
      <c r="H7" s="14">
        <v>20.726666666666667</v>
      </c>
      <c r="I7" s="10">
        <v>0</v>
      </c>
      <c r="J7" s="6">
        <v>0</v>
      </c>
      <c r="K7" s="14">
        <v>20.797499999999999</v>
      </c>
      <c r="L7" s="10">
        <v>0</v>
      </c>
      <c r="M7" s="6">
        <v>6</v>
      </c>
      <c r="N7" s="14">
        <v>15.43</v>
      </c>
      <c r="P7" s="3" t="s">
        <v>9</v>
      </c>
      <c r="Q7" s="40">
        <f t="shared" si="0"/>
        <v>59.322400000000002</v>
      </c>
      <c r="R7" s="36">
        <f t="shared" si="1"/>
        <v>27.62466666666667</v>
      </c>
      <c r="S7" s="36">
        <f t="shared" si="2"/>
        <v>47.781499999999994</v>
      </c>
      <c r="T7" s="45">
        <f t="shared" si="3"/>
        <v>10.274999999999999</v>
      </c>
      <c r="U7" s="47">
        <f t="shared" si="4"/>
        <v>36.250891666666668</v>
      </c>
    </row>
    <row r="8" spans="1:21" x14ac:dyDescent="0.25">
      <c r="A8" s="26" t="s">
        <v>4</v>
      </c>
      <c r="B8" s="7" t="s">
        <v>5</v>
      </c>
      <c r="C8" s="8">
        <v>0</v>
      </c>
      <c r="D8" s="5">
        <v>9</v>
      </c>
      <c r="E8" s="11">
        <v>27.446400000000001</v>
      </c>
      <c r="F8" s="8">
        <v>15</v>
      </c>
      <c r="G8" s="5">
        <v>34</v>
      </c>
      <c r="H8" s="11">
        <v>34.238333333333337</v>
      </c>
      <c r="I8" s="8">
        <v>0</v>
      </c>
      <c r="J8" s="5">
        <v>8</v>
      </c>
      <c r="K8" s="11">
        <v>62.658999999999999</v>
      </c>
      <c r="L8" s="8">
        <v>6</v>
      </c>
      <c r="M8" s="5">
        <v>15</v>
      </c>
      <c r="N8" s="11">
        <v>32.042999999999999</v>
      </c>
    </row>
    <row r="9" spans="1:21" x14ac:dyDescent="0.25">
      <c r="A9" s="29"/>
      <c r="B9" s="1" t="s">
        <v>6</v>
      </c>
      <c r="C9" s="9">
        <v>0</v>
      </c>
      <c r="D9" s="4">
        <v>0</v>
      </c>
      <c r="E9" s="12">
        <v>18.651800000000001</v>
      </c>
      <c r="F9" s="9">
        <v>0</v>
      </c>
      <c r="G9" s="4">
        <v>0</v>
      </c>
      <c r="H9" s="12">
        <v>18.156333333333333</v>
      </c>
      <c r="I9" s="9">
        <v>0</v>
      </c>
      <c r="J9" s="4">
        <v>0</v>
      </c>
      <c r="K9" s="12">
        <v>18.381499999999999</v>
      </c>
      <c r="L9" s="9">
        <v>0</v>
      </c>
      <c r="M9" s="4">
        <v>0</v>
      </c>
      <c r="N9" s="12">
        <v>11.061500000000001</v>
      </c>
    </row>
    <row r="10" spans="1:21" x14ac:dyDescent="0.25">
      <c r="A10" s="29"/>
      <c r="B10" s="1" t="s">
        <v>7</v>
      </c>
      <c r="C10" s="9">
        <v>0</v>
      </c>
      <c r="D10" s="4">
        <v>201</v>
      </c>
      <c r="E10" s="12">
        <v>28.727800000000002</v>
      </c>
      <c r="F10" s="9">
        <v>0</v>
      </c>
      <c r="G10" s="4">
        <v>61</v>
      </c>
      <c r="H10" s="12">
        <v>11.328666666666669</v>
      </c>
      <c r="I10" s="9">
        <v>0</v>
      </c>
      <c r="J10" s="4">
        <v>21</v>
      </c>
      <c r="K10" s="12">
        <v>28.16</v>
      </c>
      <c r="L10" s="9">
        <v>0</v>
      </c>
      <c r="M10" s="4">
        <v>28</v>
      </c>
      <c r="N10" s="12">
        <v>10.3855</v>
      </c>
    </row>
    <row r="11" spans="1:21" x14ac:dyDescent="0.25">
      <c r="A11" s="27"/>
      <c r="B11" s="2" t="s">
        <v>8</v>
      </c>
      <c r="C11" s="9">
        <v>0</v>
      </c>
      <c r="D11" s="4">
        <v>19</v>
      </c>
      <c r="E11" s="13">
        <v>6.8275999999999994</v>
      </c>
      <c r="F11" s="9">
        <v>0</v>
      </c>
      <c r="G11" s="4">
        <v>42</v>
      </c>
      <c r="H11" s="13">
        <v>10.239333333333333</v>
      </c>
      <c r="I11" s="9">
        <v>0</v>
      </c>
      <c r="J11" s="4">
        <v>6</v>
      </c>
      <c r="K11" s="13">
        <v>8.6060000000000016</v>
      </c>
      <c r="L11" s="9">
        <v>0</v>
      </c>
      <c r="M11" s="4">
        <v>1</v>
      </c>
      <c r="N11" s="13">
        <v>2.246</v>
      </c>
    </row>
    <row r="12" spans="1:21" ht="15.75" thickBot="1" x14ac:dyDescent="0.3">
      <c r="A12" s="28"/>
      <c r="B12" s="3" t="s">
        <v>9</v>
      </c>
      <c r="C12" s="10">
        <v>0</v>
      </c>
      <c r="D12" s="6">
        <v>0</v>
      </c>
      <c r="E12" s="14">
        <v>24.289399999999997</v>
      </c>
      <c r="F12" s="10">
        <v>0</v>
      </c>
      <c r="G12" s="6">
        <v>3</v>
      </c>
      <c r="H12" s="14">
        <v>18.475000000000001</v>
      </c>
      <c r="I12" s="10">
        <v>0</v>
      </c>
      <c r="J12" s="6">
        <v>0</v>
      </c>
      <c r="K12" s="14">
        <v>24.878999999999998</v>
      </c>
      <c r="L12" s="10">
        <v>0</v>
      </c>
      <c r="M12" s="6">
        <v>0</v>
      </c>
      <c r="N12" s="14">
        <v>12.811</v>
      </c>
    </row>
    <row r="13" spans="1:21" x14ac:dyDescent="0.25">
      <c r="A13" s="26" t="s">
        <v>10</v>
      </c>
      <c r="B13" s="7" t="s">
        <v>5</v>
      </c>
      <c r="C13" s="8">
        <v>21</v>
      </c>
      <c r="D13" s="5">
        <v>39</v>
      </c>
      <c r="E13" s="11">
        <v>43.213000000000001</v>
      </c>
      <c r="F13" s="8">
        <v>0</v>
      </c>
      <c r="G13" s="5">
        <v>22</v>
      </c>
      <c r="H13" s="11">
        <v>32.008000000000003</v>
      </c>
      <c r="I13" s="8">
        <v>4</v>
      </c>
      <c r="J13" s="5">
        <v>4</v>
      </c>
      <c r="K13" s="11">
        <v>47.829000000000001</v>
      </c>
      <c r="L13" s="8">
        <v>0</v>
      </c>
      <c r="M13" s="5">
        <v>6</v>
      </c>
      <c r="N13" s="11">
        <v>25.389499999999998</v>
      </c>
    </row>
    <row r="14" spans="1:21" x14ac:dyDescent="0.25">
      <c r="A14" s="29"/>
      <c r="B14" s="1" t="s">
        <v>6</v>
      </c>
      <c r="C14" s="9">
        <v>0</v>
      </c>
      <c r="D14" s="4">
        <v>0</v>
      </c>
      <c r="E14" s="12">
        <v>23.866999999999997</v>
      </c>
      <c r="F14" s="9">
        <v>0</v>
      </c>
      <c r="G14" s="4">
        <v>0</v>
      </c>
      <c r="H14" s="12">
        <v>21.609666666666669</v>
      </c>
      <c r="I14" s="9">
        <v>0</v>
      </c>
      <c r="J14" s="4">
        <v>0</v>
      </c>
      <c r="K14" s="12">
        <v>21.009</v>
      </c>
      <c r="L14" s="9">
        <v>0</v>
      </c>
      <c r="M14" s="4">
        <v>0</v>
      </c>
      <c r="N14" s="12">
        <v>12.815</v>
      </c>
    </row>
    <row r="15" spans="1:21" x14ac:dyDescent="0.25">
      <c r="A15" s="29"/>
      <c r="B15" s="1" t="s">
        <v>7</v>
      </c>
      <c r="C15" s="9">
        <v>0</v>
      </c>
      <c r="D15" s="4">
        <v>201</v>
      </c>
      <c r="E15" s="12">
        <v>44.3902</v>
      </c>
      <c r="F15" s="9">
        <v>0</v>
      </c>
      <c r="G15" s="4">
        <v>53</v>
      </c>
      <c r="H15" s="12">
        <v>13.688666666666668</v>
      </c>
      <c r="I15" s="9">
        <v>0</v>
      </c>
      <c r="J15" s="4">
        <v>27</v>
      </c>
      <c r="K15" s="12">
        <v>60.691500000000005</v>
      </c>
      <c r="L15" s="9">
        <v>0</v>
      </c>
      <c r="M15" s="4">
        <v>15</v>
      </c>
      <c r="N15" s="12">
        <v>8.838000000000001</v>
      </c>
    </row>
    <row r="16" spans="1:21" x14ac:dyDescent="0.25">
      <c r="A16" s="27"/>
      <c r="B16" s="2" t="s">
        <v>8</v>
      </c>
      <c r="C16" s="9">
        <v>0</v>
      </c>
      <c r="D16" s="4">
        <v>30</v>
      </c>
      <c r="E16" s="13">
        <v>11.812200000000001</v>
      </c>
      <c r="F16" s="9">
        <v>0</v>
      </c>
      <c r="G16" s="4">
        <v>20</v>
      </c>
      <c r="H16" s="13">
        <v>7.7290000000000001</v>
      </c>
      <c r="I16" s="9">
        <v>0</v>
      </c>
      <c r="J16" s="4">
        <v>6</v>
      </c>
      <c r="K16" s="13">
        <v>12.189</v>
      </c>
      <c r="L16" s="9">
        <v>0</v>
      </c>
      <c r="M16" s="4">
        <v>6</v>
      </c>
      <c r="N16" s="13">
        <v>3.0569999999999999</v>
      </c>
    </row>
    <row r="17" spans="1:14" ht="15.75" thickBot="1" x14ac:dyDescent="0.3">
      <c r="A17" s="28"/>
      <c r="B17" s="3" t="s">
        <v>9</v>
      </c>
      <c r="C17" s="10">
        <v>0</v>
      </c>
      <c r="D17" s="6">
        <v>0</v>
      </c>
      <c r="E17" s="14">
        <v>32.965400000000002</v>
      </c>
      <c r="F17" s="10">
        <v>0</v>
      </c>
      <c r="G17" s="6">
        <v>8</v>
      </c>
      <c r="H17" s="14">
        <v>21.445666666666668</v>
      </c>
      <c r="I17" s="10">
        <v>0</v>
      </c>
      <c r="J17" s="6">
        <v>0</v>
      </c>
      <c r="K17" s="14">
        <v>29.049500000000002</v>
      </c>
      <c r="L17" s="10">
        <v>0</v>
      </c>
      <c r="M17" s="6">
        <v>0</v>
      </c>
      <c r="N17" s="14">
        <v>14.488</v>
      </c>
    </row>
    <row r="18" spans="1:14" x14ac:dyDescent="0.25">
      <c r="A18" s="26" t="s">
        <v>11</v>
      </c>
      <c r="B18" s="7" t="s">
        <v>5</v>
      </c>
      <c r="C18" s="8">
        <v>30</v>
      </c>
      <c r="D18" s="5">
        <v>68</v>
      </c>
      <c r="E18" s="11">
        <v>44.689400000000006</v>
      </c>
      <c r="F18" s="8">
        <v>6</v>
      </c>
      <c r="G18" s="5">
        <v>36</v>
      </c>
      <c r="H18" s="11">
        <v>51.801000000000009</v>
      </c>
      <c r="I18" s="8">
        <v>3</v>
      </c>
      <c r="J18" s="5">
        <v>7</v>
      </c>
      <c r="K18" s="11">
        <v>86.951999999999998</v>
      </c>
      <c r="L18" s="8">
        <v>0</v>
      </c>
      <c r="M18" s="5">
        <v>6</v>
      </c>
      <c r="N18" s="11">
        <v>33.594000000000001</v>
      </c>
    </row>
    <row r="19" spans="1:14" x14ac:dyDescent="0.25">
      <c r="A19" s="29"/>
      <c r="B19" s="1" t="s">
        <v>6</v>
      </c>
      <c r="C19" s="9">
        <v>0</v>
      </c>
      <c r="D19" s="4">
        <v>0</v>
      </c>
      <c r="E19" s="12">
        <v>29.6538</v>
      </c>
      <c r="F19" s="9">
        <v>0</v>
      </c>
      <c r="G19" s="4">
        <v>0</v>
      </c>
      <c r="H19" s="12">
        <v>29.847333333333335</v>
      </c>
      <c r="I19" s="9">
        <v>0</v>
      </c>
      <c r="J19" s="4">
        <v>0</v>
      </c>
      <c r="K19" s="13">
        <v>27.863500000000002</v>
      </c>
      <c r="L19" s="9">
        <v>0</v>
      </c>
      <c r="M19" s="4">
        <v>0</v>
      </c>
      <c r="N19" s="12">
        <v>20.045500000000001</v>
      </c>
    </row>
    <row r="20" spans="1:14" x14ac:dyDescent="0.25">
      <c r="A20" s="29"/>
      <c r="B20" s="1" t="s">
        <v>7</v>
      </c>
      <c r="C20" s="9">
        <v>0</v>
      </c>
      <c r="D20" s="4">
        <v>227</v>
      </c>
      <c r="E20" s="12">
        <v>88.18719999999999</v>
      </c>
      <c r="F20" s="9">
        <v>0</v>
      </c>
      <c r="G20" s="4">
        <v>60</v>
      </c>
      <c r="H20" s="12">
        <v>36.797333333333334</v>
      </c>
      <c r="I20" s="9">
        <v>0</v>
      </c>
      <c r="J20" s="4">
        <v>21</v>
      </c>
      <c r="K20" s="12">
        <v>77.701999999999998</v>
      </c>
      <c r="L20" s="9">
        <v>0</v>
      </c>
      <c r="M20" s="4">
        <v>21</v>
      </c>
      <c r="N20" s="12">
        <v>22.189499999999999</v>
      </c>
    </row>
    <row r="21" spans="1:14" x14ac:dyDescent="0.25">
      <c r="A21" s="27"/>
      <c r="B21" s="2" t="s">
        <v>8</v>
      </c>
      <c r="C21" s="9">
        <v>0</v>
      </c>
      <c r="D21" s="4">
        <v>37</v>
      </c>
      <c r="E21" s="13">
        <v>26.771800000000002</v>
      </c>
      <c r="F21" s="9">
        <v>0</v>
      </c>
      <c r="G21" s="4">
        <v>12</v>
      </c>
      <c r="H21" s="13">
        <v>16.077000000000002</v>
      </c>
      <c r="I21" s="9">
        <v>0</v>
      </c>
      <c r="J21" s="4">
        <v>15</v>
      </c>
      <c r="K21" s="12">
        <v>42.326999999999998</v>
      </c>
      <c r="L21" s="9">
        <v>0</v>
      </c>
      <c r="M21" s="4">
        <v>5</v>
      </c>
      <c r="N21" s="13">
        <v>7.3454999999999995</v>
      </c>
    </row>
    <row r="22" spans="1:14" ht="15.75" thickBot="1" x14ac:dyDescent="0.3">
      <c r="A22" s="28"/>
      <c r="B22" s="3" t="s">
        <v>9</v>
      </c>
      <c r="C22" s="10">
        <v>0</v>
      </c>
      <c r="D22" s="6">
        <v>3</v>
      </c>
      <c r="E22" s="14">
        <v>44.898600000000002</v>
      </c>
      <c r="F22" s="10">
        <v>0</v>
      </c>
      <c r="G22" s="6">
        <v>0</v>
      </c>
      <c r="H22" s="14">
        <v>31.757000000000001</v>
      </c>
      <c r="I22" s="10">
        <v>0</v>
      </c>
      <c r="J22" s="6">
        <v>0</v>
      </c>
      <c r="K22" s="12">
        <v>40.46</v>
      </c>
      <c r="L22" s="10">
        <v>0</v>
      </c>
      <c r="M22" s="6">
        <v>0</v>
      </c>
      <c r="N22" s="14">
        <v>16.573499999999999</v>
      </c>
    </row>
    <row r="23" spans="1:14" x14ac:dyDescent="0.25">
      <c r="A23" s="26" t="s">
        <v>12</v>
      </c>
      <c r="B23" s="7" t="s">
        <v>5</v>
      </c>
      <c r="C23" s="8">
        <v>15</v>
      </c>
      <c r="D23" s="5">
        <v>273</v>
      </c>
      <c r="E23" s="11">
        <v>157.15860000000004</v>
      </c>
      <c r="F23" s="8">
        <v>42</v>
      </c>
      <c r="G23" s="5">
        <v>110</v>
      </c>
      <c r="H23" s="11">
        <v>107.09566666666666</v>
      </c>
      <c r="I23" s="8">
        <v>4</v>
      </c>
      <c r="J23" s="5">
        <v>8</v>
      </c>
      <c r="K23" s="11">
        <v>112.268</v>
      </c>
      <c r="L23" s="8">
        <v>12</v>
      </c>
      <c r="M23" s="5">
        <v>24</v>
      </c>
      <c r="N23" s="11">
        <v>246.48149999999998</v>
      </c>
    </row>
    <row r="24" spans="1:14" x14ac:dyDescent="0.25">
      <c r="A24" s="29"/>
      <c r="B24" s="1" t="s">
        <v>6</v>
      </c>
      <c r="C24" s="9">
        <v>0</v>
      </c>
      <c r="D24" s="4">
        <v>3</v>
      </c>
      <c r="E24" s="13">
        <v>42.4148</v>
      </c>
      <c r="F24" s="9">
        <v>3</v>
      </c>
      <c r="G24" s="4">
        <v>11</v>
      </c>
      <c r="H24" s="12">
        <v>41.159666666666674</v>
      </c>
      <c r="I24" s="9">
        <v>0</v>
      </c>
      <c r="J24" s="4">
        <v>2</v>
      </c>
      <c r="K24" s="12">
        <v>69.332999999999998</v>
      </c>
      <c r="L24" s="9">
        <v>0</v>
      </c>
      <c r="M24" s="4">
        <v>2</v>
      </c>
      <c r="N24" s="12">
        <v>24.628</v>
      </c>
    </row>
    <row r="25" spans="1:14" x14ac:dyDescent="0.25">
      <c r="A25" s="29"/>
      <c r="B25" s="1" t="s">
        <v>7</v>
      </c>
      <c r="C25" s="9">
        <v>0</v>
      </c>
      <c r="D25" s="4">
        <v>236</v>
      </c>
      <c r="E25" s="12">
        <v>208.62439999999998</v>
      </c>
      <c r="F25" s="9">
        <v>0</v>
      </c>
      <c r="G25" s="4">
        <v>58</v>
      </c>
      <c r="H25" s="12">
        <v>59.111666666666672</v>
      </c>
      <c r="I25" s="9">
        <v>9</v>
      </c>
      <c r="J25" s="4">
        <v>27</v>
      </c>
      <c r="K25" s="12">
        <v>237.0025</v>
      </c>
      <c r="L25" s="9">
        <v>0</v>
      </c>
      <c r="M25" s="4">
        <v>28</v>
      </c>
      <c r="N25" s="12">
        <v>40.1</v>
      </c>
    </row>
    <row r="26" spans="1:14" x14ac:dyDescent="0.25">
      <c r="A26" s="27"/>
      <c r="B26" s="2" t="s">
        <v>8</v>
      </c>
      <c r="C26" s="9">
        <v>0</v>
      </c>
      <c r="D26" s="4">
        <v>61</v>
      </c>
      <c r="E26" s="12">
        <v>57.111599999999996</v>
      </c>
      <c r="F26" s="9">
        <v>0</v>
      </c>
      <c r="G26" s="4">
        <v>16</v>
      </c>
      <c r="H26" s="13">
        <v>33.736666666666665</v>
      </c>
      <c r="I26" s="9">
        <v>0</v>
      </c>
      <c r="J26" s="4">
        <v>13</v>
      </c>
      <c r="K26" s="12">
        <v>115.86449999999999</v>
      </c>
      <c r="L26" s="9">
        <v>0</v>
      </c>
      <c r="M26" s="4">
        <v>15</v>
      </c>
      <c r="N26" s="13">
        <v>16.868500000000001</v>
      </c>
    </row>
    <row r="27" spans="1:14" ht="15.75" thickBot="1" x14ac:dyDescent="0.3">
      <c r="A27" s="28"/>
      <c r="B27" s="3" t="s">
        <v>9</v>
      </c>
      <c r="C27" s="10">
        <v>0</v>
      </c>
      <c r="D27" s="6">
        <v>0</v>
      </c>
      <c r="E27" s="14">
        <v>73.557000000000002</v>
      </c>
      <c r="F27" s="10">
        <v>0</v>
      </c>
      <c r="G27" s="6">
        <v>0</v>
      </c>
      <c r="H27" s="14">
        <v>48.351333333333336</v>
      </c>
      <c r="I27" s="10">
        <v>0</v>
      </c>
      <c r="J27" s="6">
        <v>2</v>
      </c>
      <c r="K27" s="15">
        <v>68.578999999999994</v>
      </c>
      <c r="L27" s="10">
        <v>0</v>
      </c>
      <c r="M27" s="6">
        <v>3</v>
      </c>
      <c r="N27" s="14">
        <v>25.704999999999998</v>
      </c>
    </row>
    <row r="29" spans="1:14" x14ac:dyDescent="0.25">
      <c r="A29" t="s">
        <v>19</v>
      </c>
    </row>
    <row r="30" spans="1:14" x14ac:dyDescent="0.25">
      <c r="A30" t="s">
        <v>30</v>
      </c>
    </row>
    <row r="31" spans="1:14" x14ac:dyDescent="0.25">
      <c r="A31" t="s">
        <v>21</v>
      </c>
    </row>
    <row r="32" spans="1:14" x14ac:dyDescent="0.25">
      <c r="A32" t="s">
        <v>22</v>
      </c>
    </row>
  </sheetData>
  <mergeCells count="9">
    <mergeCell ref="A13:A17"/>
    <mergeCell ref="A18:A22"/>
    <mergeCell ref="A23:A27"/>
    <mergeCell ref="C1:E1"/>
    <mergeCell ref="F1:H1"/>
    <mergeCell ref="I1:K1"/>
    <mergeCell ref="L1:N1"/>
    <mergeCell ref="A3:A7"/>
    <mergeCell ref="A8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computational cost</vt:lpstr>
      <vt:lpstr>gpt-5-nano</vt:lpstr>
      <vt:lpstr>o4-mini</vt:lpstr>
      <vt:lpstr>gpt-4o-mini</vt:lpstr>
      <vt:lpstr>gpt-4.1-mini</vt:lpstr>
      <vt:lpstr>gpt-5-mini</vt:lpstr>
      <vt:lpstr>computational cost--comparison</vt:lpstr>
      <vt:lpstr>cost--degradation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from_atom3.py_import_atom3 from_atom3.py_import_atom3</dc:creator>
  <cp:lastModifiedBy>from_atom3.py_import_atom3 from_atom3.py_import_atom3</cp:lastModifiedBy>
  <dcterms:created xsi:type="dcterms:W3CDTF">2026-01-26T16:03:03Z</dcterms:created>
  <dcterms:modified xsi:type="dcterms:W3CDTF">2026-01-28T11:01:17Z</dcterms:modified>
</cp:coreProperties>
</file>