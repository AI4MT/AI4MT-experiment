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\AI4MT-experiment\experiments\follow_ups_experiment\"/>
    </mc:Choice>
  </mc:AlternateContent>
  <xr:revisionPtr revIDLastSave="0" documentId="13_ncr:1_{C29B31B7-658B-432E-9C9A-1C9A7D399303}" xr6:coauthVersionLast="47" xr6:coauthVersionMax="47" xr10:uidLastSave="{00000000-0000-0000-0000-000000000000}"/>
  <bookViews>
    <workbookView xWindow="-120" yWindow="-120" windowWidth="29040" windowHeight="15720" activeTab="3" xr2:uid="{3A583CCC-5710-49B6-B455-6972CAD47DFC}"/>
  </bookViews>
  <sheets>
    <sheet name="aggregated_5_sizes" sheetId="1" r:id="rId1"/>
    <sheet name="LLM" sheetId="2" r:id="rId2"/>
    <sheet name="size" sheetId="3" r:id="rId3"/>
    <sheet name="Unsuccessful repair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5" l="1"/>
  <c r="N35" i="5"/>
  <c r="N23" i="5"/>
  <c r="C24" i="5"/>
  <c r="D24" i="5"/>
  <c r="E24" i="5"/>
  <c r="F24" i="5"/>
  <c r="G24" i="5"/>
  <c r="H24" i="5"/>
  <c r="I24" i="5"/>
  <c r="J24" i="5"/>
  <c r="K24" i="5"/>
  <c r="L24" i="5"/>
  <c r="M24" i="5"/>
  <c r="B24" i="5"/>
  <c r="O20" i="5"/>
  <c r="N31" i="5"/>
  <c r="N32" i="5"/>
  <c r="N33" i="5"/>
  <c r="N34" i="5"/>
  <c r="N30" i="5"/>
  <c r="K36" i="5"/>
  <c r="C35" i="5"/>
  <c r="B36" i="5" s="1"/>
  <c r="D35" i="5"/>
  <c r="E35" i="5"/>
  <c r="E36" i="5" s="1"/>
  <c r="F35" i="5"/>
  <c r="G35" i="5"/>
  <c r="H35" i="5"/>
  <c r="H36" i="5" s="1"/>
  <c r="I35" i="5"/>
  <c r="J35" i="5"/>
  <c r="K35" i="5"/>
  <c r="L35" i="5"/>
  <c r="M35" i="5"/>
  <c r="B35" i="5"/>
  <c r="N19" i="5"/>
  <c r="O19" i="5" s="1"/>
  <c r="N20" i="5"/>
  <c r="N21" i="5"/>
  <c r="O21" i="5" s="1"/>
  <c r="N22" i="5"/>
  <c r="O22" i="5" s="1"/>
  <c r="N18" i="5"/>
  <c r="O18" i="5" s="1"/>
  <c r="C23" i="5"/>
  <c r="B25" i="5" s="1"/>
  <c r="D23" i="5"/>
  <c r="E23" i="5"/>
  <c r="F23" i="5"/>
  <c r="E25" i="5" s="1"/>
  <c r="G23" i="5"/>
  <c r="H23" i="5"/>
  <c r="H25" i="5" s="1"/>
  <c r="I23" i="5"/>
  <c r="J23" i="5"/>
  <c r="K23" i="5"/>
  <c r="K25" i="5" s="1"/>
  <c r="K26" i="5" s="1"/>
  <c r="L23" i="5"/>
  <c r="M23" i="5"/>
  <c r="B23" i="5"/>
  <c r="N5" i="5"/>
  <c r="N6" i="5"/>
  <c r="N7" i="5"/>
  <c r="N8" i="5"/>
  <c r="N4" i="5"/>
  <c r="C10" i="5"/>
  <c r="D10" i="5"/>
  <c r="E10" i="5"/>
  <c r="F10" i="5"/>
  <c r="G10" i="5"/>
  <c r="H10" i="5"/>
  <c r="H12" i="5" s="1"/>
  <c r="I10" i="5"/>
  <c r="J10" i="5"/>
  <c r="K10" i="5"/>
  <c r="L10" i="5"/>
  <c r="M10" i="5"/>
  <c r="B10" i="5"/>
  <c r="E26" i="5" l="1"/>
  <c r="H26" i="5"/>
  <c r="B26" i="5"/>
  <c r="B12" i="5"/>
  <c r="K12" i="5"/>
  <c r="E12" i="5"/>
  <c r="H32" i="1" l="1"/>
  <c r="H33" i="1"/>
  <c r="H34" i="1"/>
  <c r="H35" i="1"/>
  <c r="H31" i="1"/>
  <c r="G32" i="1"/>
  <c r="G33" i="1"/>
  <c r="G34" i="1"/>
  <c r="G35" i="1"/>
  <c r="F32" i="1"/>
  <c r="F33" i="1"/>
  <c r="F34" i="1"/>
  <c r="F35" i="1"/>
  <c r="E32" i="1"/>
  <c r="E33" i="1"/>
  <c r="E34" i="1"/>
  <c r="E35" i="1"/>
  <c r="D32" i="1"/>
  <c r="D33" i="1"/>
  <c r="D34" i="1"/>
  <c r="D35" i="1"/>
  <c r="D31" i="1"/>
  <c r="E31" i="1"/>
  <c r="F31" i="1"/>
  <c r="G31" i="1"/>
  <c r="C32" i="1"/>
  <c r="C33" i="1"/>
  <c r="C34" i="1"/>
  <c r="C35" i="1"/>
  <c r="C31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J41" i="3"/>
  <c r="J42" i="3"/>
  <c r="J43" i="3"/>
  <c r="J44" i="3"/>
  <c r="J40" i="3"/>
  <c r="G49" i="3"/>
  <c r="D31" i="3"/>
  <c r="E3" i="2" l="1"/>
  <c r="E4" i="2"/>
  <c r="E5" i="2"/>
  <c r="E6" i="2"/>
  <c r="E7" i="2"/>
  <c r="C41" i="3"/>
  <c r="C42" i="3"/>
  <c r="C43" i="3"/>
  <c r="C44" i="3"/>
  <c r="C40" i="3"/>
  <c r="AE32" i="3"/>
  <c r="AE33" i="3"/>
  <c r="AE34" i="3"/>
  <c r="AE35" i="3"/>
  <c r="AE31" i="3"/>
  <c r="AD32" i="3"/>
  <c r="AD33" i="3"/>
  <c r="AD34" i="3"/>
  <c r="AD35" i="3"/>
  <c r="AD31" i="3"/>
  <c r="AC32" i="3"/>
  <c r="AC33" i="3"/>
  <c r="AC34" i="3"/>
  <c r="AC35" i="3"/>
  <c r="AC31" i="3"/>
  <c r="AB32" i="3"/>
  <c r="AB33" i="3"/>
  <c r="AB34" i="3"/>
  <c r="AB35" i="3"/>
  <c r="AB31" i="3"/>
  <c r="AA32" i="3"/>
  <c r="AA33" i="3"/>
  <c r="AA34" i="3"/>
  <c r="AA35" i="3"/>
  <c r="AA31" i="3"/>
  <c r="X32" i="3"/>
  <c r="X33" i="3"/>
  <c r="X34" i="3"/>
  <c r="X35" i="3"/>
  <c r="X31" i="3"/>
  <c r="Q32" i="3"/>
  <c r="Q33" i="3"/>
  <c r="Q34" i="3"/>
  <c r="Q35" i="3"/>
  <c r="Q31" i="3"/>
  <c r="H32" i="3"/>
  <c r="H33" i="3"/>
  <c r="H34" i="3"/>
  <c r="H35" i="3"/>
  <c r="H31" i="3"/>
  <c r="W32" i="3"/>
  <c r="W33" i="3"/>
  <c r="W34" i="3"/>
  <c r="W35" i="3"/>
  <c r="W31" i="3"/>
  <c r="V32" i="3"/>
  <c r="V33" i="3"/>
  <c r="V34" i="3"/>
  <c r="V35" i="3"/>
  <c r="V31" i="3"/>
  <c r="U32" i="3"/>
  <c r="U33" i="3"/>
  <c r="U34" i="3"/>
  <c r="U35" i="3"/>
  <c r="U31" i="3"/>
  <c r="T32" i="3"/>
  <c r="T33" i="3"/>
  <c r="T34" i="3"/>
  <c r="T35" i="3"/>
  <c r="T31" i="3"/>
  <c r="M33" i="3"/>
  <c r="M34" i="3"/>
  <c r="M35" i="3"/>
  <c r="G32" i="3"/>
  <c r="G35" i="3"/>
  <c r="E32" i="3"/>
  <c r="E34" i="3"/>
  <c r="E35" i="3"/>
  <c r="D34" i="3"/>
  <c r="D35" i="3"/>
  <c r="H27" i="3"/>
  <c r="H26" i="3"/>
  <c r="H25" i="3"/>
  <c r="H24" i="3"/>
  <c r="H23" i="3"/>
  <c r="G31" i="3" s="1"/>
  <c r="H22" i="3"/>
  <c r="F35" i="3" s="1"/>
  <c r="H21" i="3"/>
  <c r="F34" i="3" s="1"/>
  <c r="H20" i="3"/>
  <c r="F33" i="3" s="1"/>
  <c r="H19" i="3"/>
  <c r="F32" i="3" s="1"/>
  <c r="H18" i="3"/>
  <c r="H17" i="3"/>
  <c r="H16" i="3"/>
  <c r="H15" i="3"/>
  <c r="H14" i="3"/>
  <c r="H13" i="3"/>
  <c r="F31" i="3" s="1"/>
  <c r="H12" i="3"/>
  <c r="H11" i="3"/>
  <c r="H10" i="3"/>
  <c r="E33" i="3" s="1"/>
  <c r="H9" i="3"/>
  <c r="D32" i="3" s="1"/>
  <c r="H8" i="3"/>
  <c r="AB27" i="3"/>
  <c r="U27" i="3"/>
  <c r="O27" i="3"/>
  <c r="P35" i="3" s="1"/>
  <c r="AB26" i="3"/>
  <c r="U26" i="3"/>
  <c r="O26" i="3"/>
  <c r="P34" i="3" s="1"/>
  <c r="AB25" i="3"/>
  <c r="U25" i="3"/>
  <c r="O25" i="3"/>
  <c r="P33" i="3" s="1"/>
  <c r="AB24" i="3"/>
  <c r="U24" i="3"/>
  <c r="O24" i="3"/>
  <c r="P32" i="3" s="1"/>
  <c r="AB23" i="3"/>
  <c r="U23" i="3"/>
  <c r="O23" i="3"/>
  <c r="P31" i="3" s="1"/>
  <c r="AB22" i="3"/>
  <c r="U22" i="3"/>
  <c r="O22" i="3"/>
  <c r="AB21" i="3"/>
  <c r="U21" i="3"/>
  <c r="O21" i="3"/>
  <c r="O34" i="3" s="1"/>
  <c r="AB20" i="3"/>
  <c r="U20" i="3"/>
  <c r="O20" i="3"/>
  <c r="O33" i="3" s="1"/>
  <c r="AB19" i="3"/>
  <c r="U19" i="3"/>
  <c r="O19" i="3"/>
  <c r="O32" i="3" s="1"/>
  <c r="AB18" i="3"/>
  <c r="U18" i="3"/>
  <c r="O18" i="3"/>
  <c r="O31" i="3" s="1"/>
  <c r="AB17" i="3"/>
  <c r="U17" i="3"/>
  <c r="O17" i="3"/>
  <c r="O35" i="3" s="1"/>
  <c r="AB16" i="3"/>
  <c r="U16" i="3"/>
  <c r="O16" i="3"/>
  <c r="N34" i="3" s="1"/>
  <c r="AB15" i="3"/>
  <c r="U15" i="3"/>
  <c r="O15" i="3"/>
  <c r="AB14" i="3"/>
  <c r="U14" i="3"/>
  <c r="O14" i="3"/>
  <c r="N32" i="3" s="1"/>
  <c r="AB13" i="3"/>
  <c r="U13" i="3"/>
  <c r="N13" i="3"/>
  <c r="O13" i="3" s="1"/>
  <c r="N31" i="3" s="1"/>
  <c r="AB12" i="3"/>
  <c r="U12" i="3"/>
  <c r="O12" i="3"/>
  <c r="AB11" i="3"/>
  <c r="U11" i="3"/>
  <c r="O11" i="3"/>
  <c r="AB10" i="3"/>
  <c r="U10" i="3"/>
  <c r="O10" i="3"/>
  <c r="N33" i="3" s="1"/>
  <c r="AB9" i="3"/>
  <c r="U9" i="3"/>
  <c r="O9" i="3"/>
  <c r="M32" i="3" s="1"/>
  <c r="AB8" i="3"/>
  <c r="U8" i="3"/>
  <c r="O8" i="3"/>
  <c r="M31" i="3" s="1"/>
  <c r="AB7" i="3"/>
  <c r="U7" i="3"/>
  <c r="O7" i="3"/>
  <c r="H7" i="3"/>
  <c r="AB6" i="3"/>
  <c r="U6" i="3"/>
  <c r="O6" i="3"/>
  <c r="H6" i="3"/>
  <c r="AB5" i="3"/>
  <c r="U5" i="3"/>
  <c r="O5" i="3"/>
  <c r="H5" i="3"/>
  <c r="AB4" i="3"/>
  <c r="U4" i="3"/>
  <c r="O4" i="3"/>
  <c r="H4" i="3"/>
  <c r="AB3" i="3"/>
  <c r="U3" i="3"/>
  <c r="O3" i="3"/>
  <c r="H3" i="3"/>
  <c r="B33" i="2"/>
  <c r="B32" i="2"/>
  <c r="D4" i="2"/>
  <c r="D5" i="2"/>
  <c r="D6" i="2"/>
  <c r="D7" i="2"/>
  <c r="D3" i="2"/>
  <c r="G33" i="3" l="1"/>
  <c r="N35" i="3"/>
  <c r="G34" i="3"/>
  <c r="D33" i="3"/>
  <c r="E31" i="3"/>
  <c r="T80" i="1"/>
  <c r="V81" i="1" s="1"/>
  <c r="AB76" i="1"/>
  <c r="AB77" i="1"/>
  <c r="AB78" i="1"/>
  <c r="AB79" i="1"/>
  <c r="AB75" i="1"/>
  <c r="AA76" i="1"/>
  <c r="AA77" i="1"/>
  <c r="AA78" i="1"/>
  <c r="AA79" i="1"/>
  <c r="AA75" i="1"/>
  <c r="Z76" i="1"/>
  <c r="Z77" i="1"/>
  <c r="Z78" i="1"/>
  <c r="Z79" i="1"/>
  <c r="Z75" i="1"/>
  <c r="Z80" i="1" s="1"/>
  <c r="V76" i="1"/>
  <c r="V77" i="1"/>
  <c r="V78" i="1"/>
  <c r="V79" i="1"/>
  <c r="V75" i="1"/>
  <c r="U76" i="1"/>
  <c r="U77" i="1"/>
  <c r="U78" i="1"/>
  <c r="U79" i="1"/>
  <c r="U75" i="1"/>
  <c r="T76" i="1"/>
  <c r="T77" i="1"/>
  <c r="T78" i="1"/>
  <c r="T79" i="1"/>
  <c r="T75" i="1"/>
  <c r="O76" i="1"/>
  <c r="O77" i="1"/>
  <c r="O78" i="1"/>
  <c r="O79" i="1"/>
  <c r="O75" i="1"/>
  <c r="N76" i="1"/>
  <c r="N77" i="1"/>
  <c r="N78" i="1"/>
  <c r="N79" i="1"/>
  <c r="N75" i="1"/>
  <c r="M76" i="1"/>
  <c r="P76" i="1" s="1"/>
  <c r="M77" i="1"/>
  <c r="P77" i="1" s="1"/>
  <c r="M78" i="1"/>
  <c r="P78" i="1" s="1"/>
  <c r="M79" i="1"/>
  <c r="P79" i="1" s="1"/>
  <c r="M75" i="1"/>
  <c r="M80" i="1" s="1"/>
  <c r="F76" i="1"/>
  <c r="F77" i="1"/>
  <c r="F78" i="1"/>
  <c r="F79" i="1"/>
  <c r="F75" i="1"/>
  <c r="E76" i="1"/>
  <c r="E77" i="1"/>
  <c r="E78" i="1"/>
  <c r="E79" i="1"/>
  <c r="E75" i="1"/>
  <c r="D76" i="1"/>
  <c r="D77" i="1"/>
  <c r="D78" i="1"/>
  <c r="D79" i="1"/>
  <c r="D75" i="1"/>
  <c r="N13" i="1"/>
  <c r="N31" i="1" s="1"/>
  <c r="X38" i="1"/>
  <c r="R38" i="1"/>
  <c r="K38" i="1"/>
  <c r="B38" i="1"/>
  <c r="Y32" i="1"/>
  <c r="Y33" i="1"/>
  <c r="Y34" i="1"/>
  <c r="Y35" i="1"/>
  <c r="Z32" i="1"/>
  <c r="Z33" i="1"/>
  <c r="Z34" i="1"/>
  <c r="Z35" i="1"/>
  <c r="Y31" i="1"/>
  <c r="Z31" i="1"/>
  <c r="AA35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34" i="1" s="1"/>
  <c r="AA5" i="1"/>
  <c r="AA33" i="1" s="1"/>
  <c r="AA4" i="1"/>
  <c r="AA32" i="1" s="1"/>
  <c r="AA3" i="1"/>
  <c r="AA31" i="1" s="1"/>
  <c r="AA36" i="1" s="1"/>
  <c r="T32" i="1"/>
  <c r="T33" i="1"/>
  <c r="T34" i="1"/>
  <c r="T35" i="1"/>
  <c r="S32" i="1"/>
  <c r="S33" i="1"/>
  <c r="S34" i="1"/>
  <c r="S35" i="1"/>
  <c r="S31" i="1"/>
  <c r="T31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35" i="1" s="1"/>
  <c r="U6" i="1"/>
  <c r="U34" i="1" s="1"/>
  <c r="U5" i="1"/>
  <c r="U33" i="1" s="1"/>
  <c r="U4" i="1"/>
  <c r="U32" i="1" s="1"/>
  <c r="U3" i="1"/>
  <c r="N32" i="1"/>
  <c r="N33" i="1"/>
  <c r="N34" i="1"/>
  <c r="N35" i="1"/>
  <c r="M32" i="1"/>
  <c r="M33" i="1"/>
  <c r="M34" i="1"/>
  <c r="M35" i="1"/>
  <c r="L32" i="1"/>
  <c r="L33" i="1"/>
  <c r="L34" i="1"/>
  <c r="L35" i="1"/>
  <c r="L31" i="1"/>
  <c r="M31" i="1"/>
  <c r="O27" i="1"/>
  <c r="O26" i="1"/>
  <c r="O34" i="1" s="1"/>
  <c r="O25" i="1"/>
  <c r="O24" i="1"/>
  <c r="O23" i="1"/>
  <c r="O22" i="1"/>
  <c r="O21" i="1"/>
  <c r="O20" i="1"/>
  <c r="O19" i="1"/>
  <c r="O18" i="1"/>
  <c r="O17" i="1"/>
  <c r="O16" i="1"/>
  <c r="O15" i="1"/>
  <c r="O14" i="1"/>
  <c r="O12" i="1"/>
  <c r="O11" i="1"/>
  <c r="O10" i="1"/>
  <c r="O9" i="1"/>
  <c r="O8" i="1"/>
  <c r="O7" i="1"/>
  <c r="O6" i="1"/>
  <c r="O5" i="1"/>
  <c r="O4" i="1"/>
  <c r="O3" i="1"/>
  <c r="H7" i="1"/>
  <c r="H6" i="1"/>
  <c r="H5" i="1"/>
  <c r="H4" i="1"/>
  <c r="H3" i="1"/>
  <c r="M81" i="1" l="1"/>
  <c r="O81" i="1"/>
  <c r="N81" i="1"/>
  <c r="AB81" i="1"/>
  <c r="AA81" i="1"/>
  <c r="Z81" i="1"/>
  <c r="T81" i="1"/>
  <c r="U81" i="1"/>
  <c r="G79" i="1"/>
  <c r="G78" i="1"/>
  <c r="G77" i="1"/>
  <c r="O33" i="1"/>
  <c r="AD33" i="1" s="1"/>
  <c r="P75" i="1"/>
  <c r="O32" i="1"/>
  <c r="O13" i="1"/>
  <c r="O31" i="1" s="1"/>
  <c r="O35" i="1"/>
  <c r="AD35" i="1" s="1"/>
  <c r="U31" i="1"/>
  <c r="U36" i="1" s="1"/>
  <c r="H36" i="1"/>
  <c r="G76" i="1"/>
  <c r="G75" i="1"/>
  <c r="D80" i="1"/>
  <c r="F81" i="1" s="1"/>
  <c r="AD32" i="1"/>
  <c r="AD34" i="1"/>
  <c r="O36" i="1" l="1"/>
  <c r="AD31" i="1"/>
  <c r="E81" i="1"/>
  <c r="D81" i="1"/>
</calcChain>
</file>

<file path=xl/sharedStrings.xml><?xml version="1.0" encoding="utf-8"?>
<sst xmlns="http://schemas.openxmlformats.org/spreadsheetml/2006/main" count="850" uniqueCount="81">
  <si>
    <t>Model Size</t>
  </si>
  <si>
    <t>LLM</t>
  </si>
  <si>
    <t>MR1</t>
  </si>
  <si>
    <t>MR2</t>
  </si>
  <si>
    <t>MR3</t>
  </si>
  <si>
    <t>MR4</t>
  </si>
  <si>
    <t>MR5</t>
  </si>
  <si>
    <t>Total %</t>
  </si>
  <si>
    <t>1 rack</t>
  </si>
  <si>
    <t>gpt-5-nano</t>
  </si>
  <si>
    <t>o4-mini</t>
  </si>
  <si>
    <t>gpt-4o-mini</t>
  </si>
  <si>
    <t>gpt-4.1-mini</t>
  </si>
  <si>
    <t>gpt-5-mini</t>
  </si>
  <si>
    <t>5 racks</t>
  </si>
  <si>
    <t>10 racks</t>
  </si>
  <si>
    <t>20 racks</t>
  </si>
  <si>
    <t>50 racks</t>
  </si>
  <si>
    <t>Nano</t>
  </si>
  <si>
    <t>Small</t>
  </si>
  <si>
    <t>Mid</t>
  </si>
  <si>
    <t>Large</t>
  </si>
  <si>
    <t>Xlarge</t>
  </si>
  <si>
    <t>CLOUD</t>
  </si>
  <si>
    <t>Autonomous vehicles</t>
  </si>
  <si>
    <t>01_tiny</t>
  </si>
  <si>
    <t>02_small</t>
  </si>
  <si>
    <t>03_average</t>
  </si>
  <si>
    <t>04_big</t>
  </si>
  <si>
    <t>05_huge</t>
  </si>
  <si>
    <t>DFA-Automata</t>
  </si>
  <si>
    <t>DFA-WORDS</t>
  </si>
  <si>
    <t>#seeds</t>
  </si>
  <si>
    <t>#followups</t>
  </si>
  <si>
    <t>@0</t>
  </si>
  <si>
    <t>(correct without any iteration)</t>
  </si>
  <si>
    <t>@1</t>
  </si>
  <si>
    <t>(correct after 1 iteration)</t>
  </si>
  <si>
    <t>@2</t>
  </si>
  <si>
    <t>(correct after 2 iterations)</t>
  </si>
  <si>
    <t xml:space="preserve">@3 </t>
  </si>
  <si>
    <t>TOTAL CORRECTNESS</t>
  </si>
  <si>
    <t>(correct after 3 iterations)</t>
  </si>
  <si>
    <t>base</t>
  </si>
  <si>
    <t>1 loop</t>
  </si>
  <si>
    <t>2 loops</t>
  </si>
  <si>
    <t>3 loops</t>
  </si>
  <si>
    <t>AVG</t>
  </si>
  <si>
    <t>total</t>
  </si>
  <si>
    <t>total improve</t>
  </si>
  <si>
    <t>step improv</t>
  </si>
  <si>
    <t>step improve</t>
  </si>
  <si>
    <t>data-centers</t>
  </si>
  <si>
    <t>autonomous vehicles</t>
  </si>
  <si>
    <t>automata</t>
  </si>
  <si>
    <t>word</t>
  </si>
  <si>
    <t># perfect MRs</t>
  </si>
  <si>
    <t>Base</t>
  </si>
  <si>
    <t>increase 1</t>
  </si>
  <si>
    <t>increase 2</t>
  </si>
  <si>
    <t>increase 3</t>
  </si>
  <si>
    <t>increase 4</t>
  </si>
  <si>
    <t>data centers</t>
  </si>
  <si>
    <t>dfa</t>
  </si>
  <si>
    <t>words</t>
  </si>
  <si>
    <t>Overall degradation</t>
  </si>
  <si>
    <t>degradation</t>
  </si>
  <si>
    <t>loop improvement %</t>
  </si>
  <si>
    <t>size degradation %</t>
  </si>
  <si>
    <t>vehicles</t>
  </si>
  <si>
    <t>zeros</t>
  </si>
  <si>
    <t>repair 1</t>
  </si>
  <si>
    <t>repair 2</t>
  </si>
  <si>
    <t>repair 3</t>
  </si>
  <si>
    <t>This shows the % of repair cycles (to try to correct a follow-up) that did not succeed, in each iteration</t>
  </si>
  <si>
    <t>Total</t>
  </si>
  <si>
    <t>TOTAL</t>
  </si>
  <si>
    <t>NUMBER of unsuccessful repair cycles</t>
  </si>
  <si>
    <t>NUMBER of repair cycles</t>
  </si>
  <si>
    <t>%</t>
  </si>
  <si>
    <t>aggregated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</si>
</sst>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3" borderId="7" xfId="0" applyFill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3" borderId="12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6" xfId="0" applyFill="1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25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9" xfId="0" applyFill="1" applyBorder="1"/>
    <xf numFmtId="0" fontId="0" fillId="0" borderId="30" xfId="0" applyBorder="1"/>
    <xf numFmtId="0" fontId="0" fillId="0" borderId="31" xfId="0" applyBorder="1"/>
    <xf numFmtId="0" fontId="0" fillId="0" borderId="0" xfId="0" quotePrefix="1"/>
    <xf numFmtId="0" fontId="0" fillId="4" borderId="11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0" fillId="0" borderId="13" xfId="0" applyBorder="1"/>
    <xf numFmtId="0" fontId="0" fillId="0" borderId="34" xfId="0" applyBorder="1"/>
    <xf numFmtId="0" fontId="0" fillId="0" borderId="20" xfId="0" applyBorder="1"/>
    <xf numFmtId="0" fontId="0" fillId="0" borderId="35" xfId="0" applyBorder="1"/>
    <xf numFmtId="0" fontId="0" fillId="0" borderId="23" xfId="0" applyBorder="1"/>
    <xf numFmtId="0" fontId="0" fillId="0" borderId="24" xfId="0" applyBorder="1"/>
    <xf numFmtId="0" fontId="0" fillId="0" borderId="17" xfId="0" applyBorder="1"/>
    <xf numFmtId="0" fontId="0" fillId="0" borderId="21" xfId="0" applyBorder="1"/>
    <xf numFmtId="0" fontId="0" fillId="0" borderId="14" xfId="0" applyBorder="1"/>
    <xf numFmtId="0" fontId="0" fillId="0" borderId="18" xfId="0" applyBorder="1"/>
    <xf numFmtId="0" fontId="0" fillId="6" borderId="6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34" xfId="0" applyFill="1" applyBorder="1"/>
    <xf numFmtId="0" fontId="0" fillId="0" borderId="8" xfId="0" applyBorder="1"/>
    <xf numFmtId="0" fontId="0" fillId="0" borderId="37" xfId="0" applyBorder="1"/>
    <xf numFmtId="0" fontId="1" fillId="2" borderId="38" xfId="0" applyFont="1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7" borderId="6" xfId="0" applyFill="1" applyBorder="1"/>
    <xf numFmtId="0" fontId="0" fillId="7" borderId="11" xfId="0" applyFill="1" applyBorder="1"/>
    <xf numFmtId="0" fontId="0" fillId="7" borderId="15" xfId="0" applyFill="1" applyBorder="1"/>
    <xf numFmtId="0" fontId="0" fillId="4" borderId="37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0" fontId="0" fillId="0" borderId="22" xfId="0" applyBorder="1"/>
    <xf numFmtId="0" fontId="1" fillId="2" borderId="45" xfId="0" applyFont="1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0" fillId="8" borderId="34" xfId="0" applyFill="1" applyBorder="1"/>
    <xf numFmtId="0" fontId="0" fillId="8" borderId="20" xfId="0" applyFill="1" applyBorder="1"/>
    <xf numFmtId="0" fontId="0" fillId="8" borderId="35" xfId="0" applyFill="1" applyBorder="1"/>
    <xf numFmtId="0" fontId="0" fillId="8" borderId="28" xfId="0" applyFill="1" applyBorder="1" applyAlignment="1">
      <alignment horizontal="center"/>
    </xf>
    <xf numFmtId="0" fontId="0" fillId="8" borderId="23" xfId="0" applyFill="1" applyBorder="1"/>
    <xf numFmtId="0" fontId="0" fillId="8" borderId="13" xfId="0" applyFill="1" applyBorder="1"/>
    <xf numFmtId="0" fontId="0" fillId="8" borderId="30" xfId="0" applyFill="1" applyBorder="1"/>
    <xf numFmtId="0" fontId="0" fillId="8" borderId="29" xfId="0" applyFill="1" applyBorder="1" applyAlignment="1">
      <alignment horizontal="center"/>
    </xf>
    <xf numFmtId="0" fontId="0" fillId="8" borderId="24" xfId="0" applyFill="1" applyBorder="1"/>
    <xf numFmtId="0" fontId="0" fillId="8" borderId="17" xfId="0" applyFill="1" applyBorder="1"/>
    <xf numFmtId="0" fontId="0" fillId="8" borderId="31" xfId="0" applyFill="1" applyBorder="1"/>
    <xf numFmtId="0" fontId="0" fillId="8" borderId="8" xfId="0" applyFill="1" applyBorder="1"/>
    <xf numFmtId="0" fontId="1" fillId="2" borderId="44" xfId="0" applyFon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3" borderId="10" xfId="0" applyFill="1" applyBorder="1"/>
    <xf numFmtId="0" fontId="0" fillId="3" borderId="11" xfId="0" applyFill="1" applyBorder="1"/>
    <xf numFmtId="0" fontId="0" fillId="3" borderId="15" xfId="0" applyFill="1" applyBorder="1"/>
    <xf numFmtId="0" fontId="0" fillId="8" borderId="42" xfId="0" applyFill="1" applyBorder="1"/>
    <xf numFmtId="0" fontId="0" fillId="8" borderId="28" xfId="0" applyFill="1" applyBorder="1"/>
    <xf numFmtId="0" fontId="0" fillId="8" borderId="29" xfId="0" applyFill="1" applyBorder="1"/>
    <xf numFmtId="0" fontId="1" fillId="2" borderId="46" xfId="0" applyFont="1" applyFill="1" applyBorder="1" applyAlignment="1">
      <alignment horizontal="center"/>
    </xf>
    <xf numFmtId="0" fontId="0" fillId="8" borderId="34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2" fillId="2" borderId="45" xfId="1" applyFill="1" applyBorder="1" applyAlignment="1">
      <alignment horizontal="center"/>
    </xf>
    <xf numFmtId="0" fontId="0" fillId="3" borderId="47" xfId="0" applyFill="1" applyBorder="1"/>
    <xf numFmtId="0" fontId="0" fillId="4" borderId="48" xfId="0" applyFill="1" applyBorder="1" applyAlignment="1">
      <alignment horizontal="center"/>
    </xf>
    <xf numFmtId="0" fontId="0" fillId="8" borderId="47" xfId="0" applyFill="1" applyBorder="1"/>
    <xf numFmtId="0" fontId="0" fillId="8" borderId="49" xfId="0" applyFill="1" applyBorder="1"/>
    <xf numFmtId="0" fontId="0" fillId="0" borderId="49" xfId="0" applyBorder="1"/>
    <xf numFmtId="0" fontId="0" fillId="3" borderId="13" xfId="0" applyFill="1" applyBorder="1"/>
    <xf numFmtId="0" fontId="0" fillId="4" borderId="13" xfId="0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0" fillId="3" borderId="42" xfId="0" applyFill="1" applyBorder="1"/>
    <xf numFmtId="0" fontId="1" fillId="2" borderId="51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/>
    </xf>
    <xf numFmtId="0" fontId="1" fillId="2" borderId="53" xfId="0" applyFont="1" applyFill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34" xfId="0" applyNumberFormat="1" applyBorder="1"/>
    <xf numFmtId="2" fontId="0" fillId="0" borderId="20" xfId="0" applyNumberFormat="1" applyBorder="1"/>
    <xf numFmtId="2" fontId="0" fillId="8" borderId="21" xfId="0" applyNumberFormat="1" applyFill="1" applyBorder="1" applyAlignment="1">
      <alignment horizontal="center"/>
    </xf>
    <xf numFmtId="2" fontId="0" fillId="0" borderId="35" xfId="0" applyNumberFormat="1" applyBorder="1"/>
    <xf numFmtId="2" fontId="0" fillId="0" borderId="23" xfId="0" applyNumberFormat="1" applyBorder="1"/>
    <xf numFmtId="2" fontId="0" fillId="0" borderId="13" xfId="0" applyNumberFormat="1" applyBorder="1"/>
    <xf numFmtId="2" fontId="0" fillId="8" borderId="14" xfId="0" applyNumberFormat="1" applyFill="1" applyBorder="1" applyAlignment="1">
      <alignment horizontal="center"/>
    </xf>
    <xf numFmtId="2" fontId="0" fillId="0" borderId="30" xfId="0" applyNumberFormat="1" applyBorder="1"/>
    <xf numFmtId="2" fontId="0" fillId="0" borderId="24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24" xfId="0" applyNumberFormat="1" applyBorder="1"/>
    <xf numFmtId="2" fontId="0" fillId="0" borderId="17" xfId="0" applyNumberFormat="1" applyBorder="1"/>
    <xf numFmtId="2" fontId="0" fillId="8" borderId="18" xfId="0" applyNumberFormat="1" applyFill="1" applyBorder="1" applyAlignment="1">
      <alignment horizontal="center"/>
    </xf>
    <xf numFmtId="2" fontId="0" fillId="0" borderId="31" xfId="0" applyNumberFormat="1" applyBorder="1"/>
    <xf numFmtId="2" fontId="0" fillId="0" borderId="22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4" borderId="10" xfId="0" applyNumberFormat="1" applyFill="1" applyBorder="1" applyAlignment="1">
      <alignment horizontal="center"/>
    </xf>
    <xf numFmtId="2" fontId="0" fillId="0" borderId="0" xfId="0" applyNumberFormat="1"/>
    <xf numFmtId="0" fontId="0" fillId="3" borderId="54" xfId="0" applyFill="1" applyBorder="1"/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5" borderId="26" xfId="0" applyFont="1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0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data centers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aggregated_5_sizes!$C$74</c:f>
              <c:strCache>
                <c:ptCount val="1"/>
                <c:pt idx="0">
                  <c:v>base</c:v>
                </c:pt>
              </c:strCache>
            </c:strRef>
          </c:tx>
          <c:spPr>
            <a:pattFill prst="pct5">
              <a:fgClr>
                <a:schemeClr val="bg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aggregated_5_sizes!$B$75:$B$79</c:f>
              <c:strCache>
                <c:ptCount val="5"/>
                <c:pt idx="0">
                  <c:v>gpt-5-nano</c:v>
                </c:pt>
                <c:pt idx="1">
                  <c:v>o4-mini</c:v>
                </c:pt>
                <c:pt idx="2">
                  <c:v>gpt-4o-mini</c:v>
                </c:pt>
                <c:pt idx="3">
                  <c:v>gpt-4.1-mini</c:v>
                </c:pt>
                <c:pt idx="4">
                  <c:v>gpt-5-mini</c:v>
                </c:pt>
              </c:strCache>
            </c:strRef>
          </c:cat>
          <c:val>
            <c:numRef>
              <c:f>aggregated_5_sizes!$C$75:$C$79</c:f>
              <c:numCache>
                <c:formatCode>General</c:formatCode>
                <c:ptCount val="5"/>
                <c:pt idx="0">
                  <c:v>72.699999999999989</c:v>
                </c:pt>
                <c:pt idx="1">
                  <c:v>99</c:v>
                </c:pt>
                <c:pt idx="2">
                  <c:v>0</c:v>
                </c:pt>
                <c:pt idx="3">
                  <c:v>83</c:v>
                </c:pt>
                <c:pt idx="4">
                  <c:v>99.199999999999989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1-420B-B784-E46ACE95E089}"/>
            </c:ext>
          </c:extLst>
        </c:ser>
        <c:ser>
          <c:idx val="1"/>
          <c:order val="1"/>
          <c:tx>
            <c:strRef>
              <c:f>aggregated_5_sizes!$D$74</c:f>
              <c:strCache>
                <c:ptCount val="1"/>
                <c:pt idx="0">
                  <c:v>1 loop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aggregated_5_sizes!$B$75:$B$79</c:f>
              <c:strCache>
                <c:ptCount val="5"/>
                <c:pt idx="0">
                  <c:v>gpt-5-nano</c:v>
                </c:pt>
                <c:pt idx="1">
                  <c:v>o4-mini</c:v>
                </c:pt>
                <c:pt idx="2">
                  <c:v>gpt-4o-mini</c:v>
                </c:pt>
                <c:pt idx="3">
                  <c:v>gpt-4.1-mini</c:v>
                </c:pt>
                <c:pt idx="4">
                  <c:v>gpt-5-mini</c:v>
                </c:pt>
              </c:strCache>
            </c:strRef>
          </c:cat>
          <c:val>
            <c:numRef>
              <c:f>aggregated_5_sizes!$D$75:$D$79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38.4</c:v>
                </c:pt>
                <c:pt idx="3">
                  <c:v>9.1999999999999886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71-420B-B784-E46ACE95E089}"/>
            </c:ext>
          </c:extLst>
        </c:ser>
        <c:ser>
          <c:idx val="2"/>
          <c:order val="2"/>
          <c:tx>
            <c:strRef>
              <c:f>aggregated_5_sizes!$E$74</c:f>
              <c:strCache>
                <c:ptCount val="1"/>
                <c:pt idx="0">
                  <c:v>2 loops</c:v>
                </c:pt>
              </c:strCache>
            </c:strRef>
          </c:tx>
          <c:spPr>
            <a:pattFill prst="dkUpDiag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aggregated_5_sizes!$B$75:$B$79</c:f>
              <c:strCache>
                <c:ptCount val="5"/>
                <c:pt idx="0">
                  <c:v>gpt-5-nano</c:v>
                </c:pt>
                <c:pt idx="1">
                  <c:v>o4-mini</c:v>
                </c:pt>
                <c:pt idx="2">
                  <c:v>gpt-4o-mini</c:v>
                </c:pt>
                <c:pt idx="3">
                  <c:v>gpt-4.1-mini</c:v>
                </c:pt>
                <c:pt idx="4">
                  <c:v>gpt-5-mini</c:v>
                </c:pt>
              </c:strCache>
            </c:strRef>
          </c:cat>
          <c:val>
            <c:numRef>
              <c:f>aggregated_5_sizes!$E$75:$E$79</c:f>
              <c:numCache>
                <c:formatCode>General</c:formatCode>
                <c:ptCount val="5"/>
                <c:pt idx="0">
                  <c:v>4.3000000000000114</c:v>
                </c:pt>
                <c:pt idx="1">
                  <c:v>0.69999999999998863</c:v>
                </c:pt>
                <c:pt idx="2">
                  <c:v>13.600000000000001</c:v>
                </c:pt>
                <c:pt idx="3">
                  <c:v>3.8000000000000114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71-420B-B784-E46ACE95E089}"/>
            </c:ext>
          </c:extLst>
        </c:ser>
        <c:ser>
          <c:idx val="3"/>
          <c:order val="3"/>
          <c:tx>
            <c:strRef>
              <c:f>aggregated_5_sizes!$F$74</c:f>
              <c:strCache>
                <c:ptCount val="1"/>
                <c:pt idx="0">
                  <c:v>3 loops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aggregated_5_sizes!$B$75:$B$79</c:f>
              <c:strCache>
                <c:ptCount val="5"/>
                <c:pt idx="0">
                  <c:v>gpt-5-nano</c:v>
                </c:pt>
                <c:pt idx="1">
                  <c:v>o4-mini</c:v>
                </c:pt>
                <c:pt idx="2">
                  <c:v>gpt-4o-mini</c:v>
                </c:pt>
                <c:pt idx="3">
                  <c:v>gpt-4.1-mini</c:v>
                </c:pt>
                <c:pt idx="4">
                  <c:v>gpt-5-mini</c:v>
                </c:pt>
              </c:strCache>
            </c:strRef>
          </c:cat>
          <c:val>
            <c:numRef>
              <c:f>aggregated_5_sizes!$F$75:$F$79</c:f>
              <c:numCache>
                <c:formatCode>General</c:formatCode>
                <c:ptCount val="5"/>
                <c:pt idx="0">
                  <c:v>0.19999999999998863</c:v>
                </c:pt>
                <c:pt idx="1">
                  <c:v>0</c:v>
                </c:pt>
                <c:pt idx="2">
                  <c:v>12</c:v>
                </c:pt>
                <c:pt idx="3">
                  <c:v>0.39999999999999147</c:v>
                </c:pt>
                <c:pt idx="4">
                  <c:v>0.20000000000000284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71-420B-B784-E46ACE95E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3525472"/>
        <c:axId val="1213533152"/>
      </c:barChart>
      <c:catAx>
        <c:axId val="121352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533152"/>
        <c:crosses val="autoZero"/>
        <c:auto val="1"/>
        <c:lblAlgn val="ctr"/>
        <c:lblOffset val="100"/>
        <c:noMultiLvlLbl val="0"/>
      </c:catAx>
      <c:valAx>
        <c:axId val="1213533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52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autonomous</a:t>
            </a:r>
            <a:r>
              <a:rPr lang="en-GB" baseline="0"/>
              <a:t> vehicles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aggregated_5_sizes!$L$74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aggregated_5_sizes!$K$75:$K$79</c:f>
              <c:strCache>
                <c:ptCount val="5"/>
                <c:pt idx="0">
                  <c:v>gpt-5-nano</c:v>
                </c:pt>
                <c:pt idx="1">
                  <c:v>o4-mini</c:v>
                </c:pt>
                <c:pt idx="2">
                  <c:v>gpt-4o-mini</c:v>
                </c:pt>
                <c:pt idx="3">
                  <c:v>gpt-4.1-mini</c:v>
                </c:pt>
                <c:pt idx="4">
                  <c:v>gpt-5-mini</c:v>
                </c:pt>
              </c:strCache>
            </c:strRef>
          </c:cat>
          <c:val>
            <c:numRef>
              <c:f>aggregated_5_sizes!$L$75:$L$79</c:f>
              <c:numCache>
                <c:formatCode>General</c:formatCode>
                <c:ptCount val="5"/>
                <c:pt idx="0">
                  <c:v>60</c:v>
                </c:pt>
                <c:pt idx="1">
                  <c:v>98</c:v>
                </c:pt>
                <c:pt idx="2">
                  <c:v>34.4</c:v>
                </c:pt>
                <c:pt idx="3">
                  <c:v>67.699999999999989</c:v>
                </c:pt>
                <c:pt idx="4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C-4C5D-A899-A8F6A5446448}"/>
            </c:ext>
          </c:extLst>
        </c:ser>
        <c:ser>
          <c:idx val="1"/>
          <c:order val="1"/>
          <c:tx>
            <c:strRef>
              <c:f>aggregated_5_sizes!$M$74</c:f>
              <c:strCache>
                <c:ptCount val="1"/>
                <c:pt idx="0">
                  <c:v>1 loop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aggregated_5_sizes!$K$75:$K$79</c:f>
              <c:strCache>
                <c:ptCount val="5"/>
                <c:pt idx="0">
                  <c:v>gpt-5-nano</c:v>
                </c:pt>
                <c:pt idx="1">
                  <c:v>o4-mini</c:v>
                </c:pt>
                <c:pt idx="2">
                  <c:v>gpt-4o-mini</c:v>
                </c:pt>
                <c:pt idx="3">
                  <c:v>gpt-4.1-mini</c:v>
                </c:pt>
                <c:pt idx="4">
                  <c:v>gpt-5-mini</c:v>
                </c:pt>
              </c:strCache>
            </c:strRef>
          </c:cat>
          <c:val>
            <c:numRef>
              <c:f>aggregated_5_sizes!$M$75:$M$79</c:f>
              <c:numCache>
                <c:formatCode>General</c:formatCode>
                <c:ptCount val="5"/>
                <c:pt idx="0">
                  <c:v>22.399999999999991</c:v>
                </c:pt>
                <c:pt idx="1">
                  <c:v>1</c:v>
                </c:pt>
                <c:pt idx="2">
                  <c:v>41.999999999999993</c:v>
                </c:pt>
                <c:pt idx="3">
                  <c:v>26.700000000000003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1C-4C5D-A899-A8F6A5446448}"/>
            </c:ext>
          </c:extLst>
        </c:ser>
        <c:ser>
          <c:idx val="2"/>
          <c:order val="2"/>
          <c:tx>
            <c:strRef>
              <c:f>aggregated_5_sizes!$N$74</c:f>
              <c:strCache>
                <c:ptCount val="1"/>
                <c:pt idx="0">
                  <c:v>2 loops</c:v>
                </c:pt>
              </c:strCache>
            </c:strRef>
          </c:tx>
          <c:spPr>
            <a:pattFill prst="dkUpDiag">
              <a:fgClr>
                <a:schemeClr val="bg1">
                  <a:lumMod val="6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aggregated_5_sizes!$K$75:$K$79</c:f>
              <c:strCache>
                <c:ptCount val="5"/>
                <c:pt idx="0">
                  <c:v>gpt-5-nano</c:v>
                </c:pt>
                <c:pt idx="1">
                  <c:v>o4-mini</c:v>
                </c:pt>
                <c:pt idx="2">
                  <c:v>gpt-4o-mini</c:v>
                </c:pt>
                <c:pt idx="3">
                  <c:v>gpt-4.1-mini</c:v>
                </c:pt>
                <c:pt idx="4">
                  <c:v>gpt-5-mini</c:v>
                </c:pt>
              </c:strCache>
            </c:strRef>
          </c:cat>
          <c:val>
            <c:numRef>
              <c:f>aggregated_5_sizes!$N$75:$N$79</c:f>
              <c:numCache>
                <c:formatCode>General</c:formatCode>
                <c:ptCount val="5"/>
                <c:pt idx="0">
                  <c:v>2.2999999999999972</c:v>
                </c:pt>
                <c:pt idx="1">
                  <c:v>0.39999999999999147</c:v>
                </c:pt>
                <c:pt idx="2">
                  <c:v>16.600000000000009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1C-4C5D-A899-A8F6A5446448}"/>
            </c:ext>
          </c:extLst>
        </c:ser>
        <c:ser>
          <c:idx val="3"/>
          <c:order val="3"/>
          <c:tx>
            <c:strRef>
              <c:f>aggregated_5_sizes!$O$74</c:f>
              <c:strCache>
                <c:ptCount val="1"/>
                <c:pt idx="0">
                  <c:v>3 loops</c:v>
                </c:pt>
              </c:strCache>
            </c:strRef>
          </c:tx>
          <c:spPr>
            <a:solidFill>
              <a:schemeClr val="tx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aggregated_5_sizes!$K$75:$K$79</c:f>
              <c:strCache>
                <c:ptCount val="5"/>
                <c:pt idx="0">
                  <c:v>gpt-5-nano</c:v>
                </c:pt>
                <c:pt idx="1">
                  <c:v>o4-mini</c:v>
                </c:pt>
                <c:pt idx="2">
                  <c:v>gpt-4o-mini</c:v>
                </c:pt>
                <c:pt idx="3">
                  <c:v>gpt-4.1-mini</c:v>
                </c:pt>
                <c:pt idx="4">
                  <c:v>gpt-5-mini</c:v>
                </c:pt>
              </c:strCache>
            </c:strRef>
          </c:cat>
          <c:val>
            <c:numRef>
              <c:f>aggregated_5_sizes!$O$75:$O$79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2.3999999999999915</c:v>
                </c:pt>
                <c:pt idx="3">
                  <c:v>0</c:v>
                </c:pt>
                <c:pt idx="4">
                  <c:v>0.39999999999999147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1C-4C5D-A899-A8F6A5446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3527872"/>
        <c:axId val="1213544672"/>
      </c:barChart>
      <c:catAx>
        <c:axId val="121352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544672"/>
        <c:crosses val="autoZero"/>
        <c:auto val="1"/>
        <c:lblAlgn val="ctr"/>
        <c:lblOffset val="100"/>
        <c:noMultiLvlLbl val="0"/>
      </c:catAx>
      <c:valAx>
        <c:axId val="12135446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52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automata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aggregated_5_sizes!$S$74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aggregated_5_sizes!$R$75:$R$79</c:f>
              <c:strCache>
                <c:ptCount val="5"/>
                <c:pt idx="0">
                  <c:v>gpt-5-nano</c:v>
                </c:pt>
                <c:pt idx="1">
                  <c:v>o4-mini</c:v>
                </c:pt>
                <c:pt idx="2">
                  <c:v>gpt-4o-mini</c:v>
                </c:pt>
                <c:pt idx="3">
                  <c:v>gpt-4.1-mini</c:v>
                </c:pt>
                <c:pt idx="4">
                  <c:v>gpt-5-mini</c:v>
                </c:pt>
              </c:strCache>
            </c:strRef>
          </c:cat>
          <c:val>
            <c:numRef>
              <c:f>aggregated_5_sizes!$S$75:$S$79</c:f>
              <c:numCache>
                <c:formatCode>General</c:formatCode>
                <c:ptCount val="5"/>
                <c:pt idx="0">
                  <c:v>71.699999999999989</c:v>
                </c:pt>
                <c:pt idx="1">
                  <c:v>96.699999999999989</c:v>
                </c:pt>
                <c:pt idx="2">
                  <c:v>33.4</c:v>
                </c:pt>
                <c:pt idx="3">
                  <c:v>71.699999999999989</c:v>
                </c:pt>
                <c:pt idx="4">
                  <c:v>96.699999999999989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E-4FDC-8C35-B2E0CDA40162}"/>
            </c:ext>
          </c:extLst>
        </c:ser>
        <c:ser>
          <c:idx val="1"/>
          <c:order val="1"/>
          <c:tx>
            <c:strRef>
              <c:f>aggregated_5_sizes!$T$74</c:f>
              <c:strCache>
                <c:ptCount val="1"/>
                <c:pt idx="0">
                  <c:v>1 loop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aggregated_5_sizes!$R$75:$R$79</c:f>
              <c:strCache>
                <c:ptCount val="5"/>
                <c:pt idx="0">
                  <c:v>gpt-5-nano</c:v>
                </c:pt>
                <c:pt idx="1">
                  <c:v>o4-mini</c:v>
                </c:pt>
                <c:pt idx="2">
                  <c:v>gpt-4o-mini</c:v>
                </c:pt>
                <c:pt idx="3">
                  <c:v>gpt-4.1-mini</c:v>
                </c:pt>
                <c:pt idx="4">
                  <c:v>gpt-5-mini</c:v>
                </c:pt>
              </c:strCache>
            </c:strRef>
          </c:cat>
          <c:val>
            <c:numRef>
              <c:f>aggregated_5_sizes!$T$75:$T$79</c:f>
              <c:numCache>
                <c:formatCode>General</c:formatCode>
                <c:ptCount val="5"/>
                <c:pt idx="0">
                  <c:v>13.300000000000011</c:v>
                </c:pt>
                <c:pt idx="1">
                  <c:v>3.3000000000000114</c:v>
                </c:pt>
                <c:pt idx="2">
                  <c:v>1.6000000000000014</c:v>
                </c:pt>
                <c:pt idx="3">
                  <c:v>1.7000000000000028</c:v>
                </c:pt>
                <c:pt idx="4">
                  <c:v>3.3000000000000114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DE-4FDC-8C35-B2E0CDA40162}"/>
            </c:ext>
          </c:extLst>
        </c:ser>
        <c:ser>
          <c:idx val="2"/>
          <c:order val="2"/>
          <c:tx>
            <c:strRef>
              <c:f>aggregated_5_sizes!$U$74</c:f>
              <c:strCache>
                <c:ptCount val="1"/>
                <c:pt idx="0">
                  <c:v>2 loops</c:v>
                </c:pt>
              </c:strCache>
            </c:strRef>
          </c:tx>
          <c:spPr>
            <a:pattFill prst="ltUpDiag">
              <a:fgClr>
                <a:schemeClr val="bg1">
                  <a:lumMod val="6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aggregated_5_sizes!$R$75:$R$79</c:f>
              <c:strCache>
                <c:ptCount val="5"/>
                <c:pt idx="0">
                  <c:v>gpt-5-nano</c:v>
                </c:pt>
                <c:pt idx="1">
                  <c:v>o4-mini</c:v>
                </c:pt>
                <c:pt idx="2">
                  <c:v>gpt-4o-mini</c:v>
                </c:pt>
                <c:pt idx="3">
                  <c:v>gpt-4.1-mini</c:v>
                </c:pt>
                <c:pt idx="4">
                  <c:v>gpt-5-mini</c:v>
                </c:pt>
              </c:strCache>
            </c:strRef>
          </c:cat>
          <c:val>
            <c:numRef>
              <c:f>aggregated_5_sizes!$U$75:$U$79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DE-4FDC-8C35-B2E0CDA40162}"/>
            </c:ext>
          </c:extLst>
        </c:ser>
        <c:ser>
          <c:idx val="3"/>
          <c:order val="3"/>
          <c:tx>
            <c:strRef>
              <c:f>aggregated_5_sizes!$V$74</c:f>
              <c:strCache>
                <c:ptCount val="1"/>
                <c:pt idx="0">
                  <c:v>3 loops</c:v>
                </c:pt>
              </c:strCache>
            </c:strRef>
          </c:tx>
          <c:spPr>
            <a:solidFill>
              <a:schemeClr val="tx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aggregated_5_sizes!$R$75:$R$79</c:f>
              <c:strCache>
                <c:ptCount val="5"/>
                <c:pt idx="0">
                  <c:v>gpt-5-nano</c:v>
                </c:pt>
                <c:pt idx="1">
                  <c:v>o4-mini</c:v>
                </c:pt>
                <c:pt idx="2">
                  <c:v>gpt-4o-mini</c:v>
                </c:pt>
                <c:pt idx="3">
                  <c:v>gpt-4.1-mini</c:v>
                </c:pt>
                <c:pt idx="4">
                  <c:v>gpt-5-mini</c:v>
                </c:pt>
              </c:strCache>
            </c:strRef>
          </c:cat>
          <c:val>
            <c:numRef>
              <c:f>aggregated_5_sizes!$V$75:$V$79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DE-4FDC-8C35-B2E0CDA40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3545152"/>
        <c:axId val="1213548512"/>
      </c:barChart>
      <c:catAx>
        <c:axId val="121354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548512"/>
        <c:crosses val="autoZero"/>
        <c:auto val="1"/>
        <c:lblAlgn val="ctr"/>
        <c:lblOffset val="100"/>
        <c:noMultiLvlLbl val="0"/>
      </c:catAx>
      <c:valAx>
        <c:axId val="121354851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54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words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aggregated_5_sizes!$Y$74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aggregated_5_sizes!$X$75:$X$79</c:f>
              <c:strCache>
                <c:ptCount val="5"/>
                <c:pt idx="0">
                  <c:v>gpt-5-nano</c:v>
                </c:pt>
                <c:pt idx="1">
                  <c:v>o4-mini</c:v>
                </c:pt>
                <c:pt idx="2">
                  <c:v>gpt-4o-mini</c:v>
                </c:pt>
                <c:pt idx="3">
                  <c:v>gpt-4.1-mini</c:v>
                </c:pt>
                <c:pt idx="4">
                  <c:v>gpt-5-mini</c:v>
                </c:pt>
              </c:strCache>
            </c:strRef>
          </c:cat>
          <c:val>
            <c:numRef>
              <c:f>aggregated_5_sizes!$Y$75:$Y$79</c:f>
              <c:numCache>
                <c:formatCode>General</c:formatCode>
                <c:ptCount val="5"/>
                <c:pt idx="0">
                  <c:v>68.399999999999991</c:v>
                </c:pt>
                <c:pt idx="1">
                  <c:v>96.699999999999989</c:v>
                </c:pt>
                <c:pt idx="2">
                  <c:v>36.700000000000003</c:v>
                </c:pt>
                <c:pt idx="3">
                  <c:v>80</c:v>
                </c:pt>
                <c:pt idx="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3-456C-9D4B-BD44C962090D}"/>
            </c:ext>
          </c:extLst>
        </c:ser>
        <c:ser>
          <c:idx val="1"/>
          <c:order val="1"/>
          <c:tx>
            <c:strRef>
              <c:f>aggregated_5_sizes!$Z$74</c:f>
              <c:strCache>
                <c:ptCount val="1"/>
                <c:pt idx="0">
                  <c:v>1 loop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aggregated_5_sizes!$X$75:$X$79</c:f>
              <c:strCache>
                <c:ptCount val="5"/>
                <c:pt idx="0">
                  <c:v>gpt-5-nano</c:v>
                </c:pt>
                <c:pt idx="1">
                  <c:v>o4-mini</c:v>
                </c:pt>
                <c:pt idx="2">
                  <c:v>gpt-4o-mini</c:v>
                </c:pt>
                <c:pt idx="3">
                  <c:v>gpt-4.1-mini</c:v>
                </c:pt>
                <c:pt idx="4">
                  <c:v>gpt-5-mini</c:v>
                </c:pt>
              </c:strCache>
            </c:strRef>
          </c:cat>
          <c:val>
            <c:numRef>
              <c:f>aggregated_5_sizes!$Z$75:$Z$79</c:f>
              <c:numCache>
                <c:formatCode>General</c:formatCode>
                <c:ptCount val="5"/>
                <c:pt idx="0">
                  <c:v>1.6000000000000085</c:v>
                </c:pt>
                <c:pt idx="1">
                  <c:v>3.3000000000000114</c:v>
                </c:pt>
                <c:pt idx="2">
                  <c:v>8.2999999999999972</c:v>
                </c:pt>
                <c:pt idx="3">
                  <c:v>3.3999999999999915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23-456C-9D4B-BD44C962090D}"/>
            </c:ext>
          </c:extLst>
        </c:ser>
        <c:ser>
          <c:idx val="2"/>
          <c:order val="2"/>
          <c:tx>
            <c:strRef>
              <c:f>aggregated_5_sizes!$AA$74</c:f>
              <c:strCache>
                <c:ptCount val="1"/>
                <c:pt idx="0">
                  <c:v>2 loops</c:v>
                </c:pt>
              </c:strCache>
            </c:strRef>
          </c:tx>
          <c:spPr>
            <a:pattFill prst="ltUpDiag">
              <a:fgClr>
                <a:schemeClr val="bg1">
                  <a:lumMod val="6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aggregated_5_sizes!$X$75:$X$79</c:f>
              <c:strCache>
                <c:ptCount val="5"/>
                <c:pt idx="0">
                  <c:v>gpt-5-nano</c:v>
                </c:pt>
                <c:pt idx="1">
                  <c:v>o4-mini</c:v>
                </c:pt>
                <c:pt idx="2">
                  <c:v>gpt-4o-mini</c:v>
                </c:pt>
                <c:pt idx="3">
                  <c:v>gpt-4.1-mini</c:v>
                </c:pt>
                <c:pt idx="4">
                  <c:v>gpt-5-mini</c:v>
                </c:pt>
              </c:strCache>
            </c:strRef>
          </c:cat>
          <c:val>
            <c:numRef>
              <c:f>aggregated_5_sizes!$AA$75:$AA$79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3.3999999999999986</c:v>
                </c:pt>
                <c:pt idx="3">
                  <c:v>1.6000000000000085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23-456C-9D4B-BD44C962090D}"/>
            </c:ext>
          </c:extLst>
        </c:ser>
        <c:ser>
          <c:idx val="3"/>
          <c:order val="3"/>
          <c:tx>
            <c:strRef>
              <c:f>aggregated_5_sizes!$AB$74</c:f>
              <c:strCache>
                <c:ptCount val="1"/>
                <c:pt idx="0">
                  <c:v>3 loops</c:v>
                </c:pt>
              </c:strCache>
            </c:strRef>
          </c:tx>
          <c:spPr>
            <a:solidFill>
              <a:schemeClr val="tx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aggregated_5_sizes!$X$75:$X$79</c:f>
              <c:strCache>
                <c:ptCount val="5"/>
                <c:pt idx="0">
                  <c:v>gpt-5-nano</c:v>
                </c:pt>
                <c:pt idx="1">
                  <c:v>o4-mini</c:v>
                </c:pt>
                <c:pt idx="2">
                  <c:v>gpt-4o-mini</c:v>
                </c:pt>
                <c:pt idx="3">
                  <c:v>gpt-4.1-mini</c:v>
                </c:pt>
                <c:pt idx="4">
                  <c:v>gpt-5-mini</c:v>
                </c:pt>
              </c:strCache>
            </c:strRef>
          </c:cat>
          <c:val>
            <c:numRef>
              <c:f>aggregated_5_sizes!$AB$75:$AB$79</c:f>
              <c:numCache>
                <c:formatCode>General</c:formatCode>
                <c:ptCount val="5"/>
                <c:pt idx="0">
                  <c:v>1.6999999999999886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23-456C-9D4B-BD44C9620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3550432"/>
        <c:axId val="1213549472"/>
      </c:barChart>
      <c:catAx>
        <c:axId val="121355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549472"/>
        <c:crosses val="autoZero"/>
        <c:auto val="1"/>
        <c:lblAlgn val="ctr"/>
        <c:lblOffset val="100"/>
        <c:noMultiLvlLbl val="0"/>
      </c:catAx>
      <c:valAx>
        <c:axId val="12135494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55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625078</xdr:colOff>
      <xdr:row>80</xdr:row>
      <xdr:rowOff>182165</xdr:rowOff>
    </xdr:from>
    <xdr:to>
      <xdr:col>6</xdr:col>
      <xdr:colOff>625078</xdr:colOff>
      <xdr:row>95</xdr:row>
      <xdr:rowOff>67865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51DC9D-98AF-9006-6AB2-10794D0BA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404813</xdr:colOff>
      <xdr:row>81</xdr:row>
      <xdr:rowOff>15476</xdr:rowOff>
    </xdr:from>
    <xdr:to>
      <xdr:col>15</xdr:col>
      <xdr:colOff>404813</xdr:colOff>
      <xdr:row>95</xdr:row>
      <xdr:rowOff>91676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EEBEA1B-4A37-7363-EF5D-4A297347B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327421</xdr:colOff>
      <xdr:row>81</xdr:row>
      <xdr:rowOff>39289</xdr:rowOff>
    </xdr:from>
    <xdr:to>
      <xdr:col>22</xdr:col>
      <xdr:colOff>327421</xdr:colOff>
      <xdr:row>95</xdr:row>
      <xdr:rowOff>115489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6AC1EA-CACA-F32C-E51E-3E7979778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750093</xdr:colOff>
      <xdr:row>81</xdr:row>
      <xdr:rowOff>27383</xdr:rowOff>
    </xdr:from>
    <xdr:to>
      <xdr:col>28</xdr:col>
      <xdr:colOff>750093</xdr:colOff>
      <xdr:row>95</xdr:row>
      <xdr:rowOff>103583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4B2A184-6432-4A56-C27C-96F0660CA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ain@2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gain@3" TargetMode="External"/><Relationship Id="rId7" Type="http://schemas.openxmlformats.org/officeDocument/2006/relationships/hyperlink" Target="mailto:gain@1" TargetMode="External"/><Relationship Id="rId12" Type="http://schemas.openxmlformats.org/officeDocument/2006/relationships/hyperlink" Target="mailto:gain@3" TargetMode="External"/><Relationship Id="rId2" Type="http://schemas.openxmlformats.org/officeDocument/2006/relationships/hyperlink" Target="mailto:gain@2" TargetMode="External"/><Relationship Id="rId1" Type="http://schemas.openxmlformats.org/officeDocument/2006/relationships/hyperlink" Target="mailto:gain@1" TargetMode="External"/><Relationship Id="rId6" Type="http://schemas.openxmlformats.org/officeDocument/2006/relationships/hyperlink" Target="mailto:gain@3" TargetMode="External"/><Relationship Id="rId11" Type="http://schemas.openxmlformats.org/officeDocument/2006/relationships/hyperlink" Target="mailto:gain@2" TargetMode="External"/><Relationship Id="rId5" Type="http://schemas.openxmlformats.org/officeDocument/2006/relationships/hyperlink" Target="mailto:gain@2" TargetMode="External"/><Relationship Id="rId10" Type="http://schemas.openxmlformats.org/officeDocument/2006/relationships/hyperlink" Target="mailto:gain@1" TargetMode="External"/><Relationship Id="rId4" Type="http://schemas.openxmlformats.org/officeDocument/2006/relationships/hyperlink" Target="mailto:gain@1" TargetMode="External"/><Relationship Id="rId9" Type="http://schemas.openxmlformats.org/officeDocument/2006/relationships/hyperlink" Target="mailto:gain@3" TargetMode="External"/><Relationship Id="rId1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5E324-F79F-4998-85B2-EC84A9E2FC20}">
  <dimension ref="A1:AD81"/>
  <sheetViews>
    <sheetView zoomScale="80" zoomScaleNormal="80" workbookViewId="0">
      <selection activeCell="I34" sqref="I34"/>
    </sheetView>
  </sheetViews>
  <sheetFormatPr baseColWidth="10" defaultRowHeight="15" x14ac:dyDescent="0.25"/>
  <sheetData>
    <row r="1" spans="1:27" ht="15.75" thickBot="1" x14ac:dyDescent="0.3">
      <c r="B1" s="140" t="s">
        <v>23</v>
      </c>
      <c r="C1" s="140"/>
      <c r="D1" s="140"/>
      <c r="E1" s="140"/>
      <c r="F1" s="140"/>
      <c r="G1" s="140"/>
      <c r="H1" s="140"/>
      <c r="K1" s="141" t="s">
        <v>24</v>
      </c>
      <c r="L1" s="141"/>
      <c r="M1" s="141"/>
      <c r="N1" s="141"/>
      <c r="O1" s="141"/>
      <c r="R1" s="140" t="s">
        <v>30</v>
      </c>
      <c r="S1" s="140"/>
      <c r="T1" s="140"/>
      <c r="U1" s="140"/>
      <c r="X1" s="140" t="s">
        <v>31</v>
      </c>
      <c r="Y1" s="140"/>
      <c r="Z1" s="140"/>
      <c r="AA1" s="140"/>
    </row>
    <row r="2" spans="1:27" ht="15.75" thickBot="1" x14ac:dyDescent="0.3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J2" s="1" t="s">
        <v>0</v>
      </c>
      <c r="K2" s="2" t="s">
        <v>1</v>
      </c>
      <c r="L2" s="3" t="s">
        <v>2</v>
      </c>
      <c r="M2" s="3" t="s">
        <v>3</v>
      </c>
      <c r="N2" s="3" t="s">
        <v>4</v>
      </c>
      <c r="O2" s="5" t="s">
        <v>7</v>
      </c>
      <c r="Q2" s="1" t="s">
        <v>0</v>
      </c>
      <c r="R2" s="2" t="s">
        <v>1</v>
      </c>
      <c r="S2" s="3" t="s">
        <v>2</v>
      </c>
      <c r="T2" s="3" t="s">
        <v>3</v>
      </c>
      <c r="U2" s="5" t="s">
        <v>7</v>
      </c>
      <c r="W2" s="1" t="s">
        <v>0</v>
      </c>
      <c r="X2" s="2" t="s">
        <v>1</v>
      </c>
      <c r="Y2" s="3" t="s">
        <v>4</v>
      </c>
      <c r="Z2" s="3" t="s">
        <v>5</v>
      </c>
      <c r="AA2" s="5" t="s">
        <v>7</v>
      </c>
    </row>
    <row r="3" spans="1:27" x14ac:dyDescent="0.25">
      <c r="A3" s="136" t="s">
        <v>8</v>
      </c>
      <c r="B3" s="6" t="s">
        <v>9</v>
      </c>
      <c r="C3" s="7">
        <v>100</v>
      </c>
      <c r="D3" s="7">
        <v>100</v>
      </c>
      <c r="E3" s="7">
        <v>100</v>
      </c>
      <c r="F3" s="7">
        <v>100</v>
      </c>
      <c r="G3" s="8">
        <v>100</v>
      </c>
      <c r="H3" s="9">
        <f>SUM(C3:G3)/5</f>
        <v>100</v>
      </c>
      <c r="J3" s="136" t="s">
        <v>18</v>
      </c>
      <c r="K3" s="20" t="s">
        <v>9</v>
      </c>
      <c r="L3" s="7">
        <v>100</v>
      </c>
      <c r="M3" s="7">
        <v>95</v>
      </c>
      <c r="N3" s="7">
        <v>100</v>
      </c>
      <c r="O3" s="9">
        <f>SUM(L3:N3)/3</f>
        <v>98.333333333333329</v>
      </c>
      <c r="Q3" s="136" t="s">
        <v>25</v>
      </c>
      <c r="R3" s="6" t="s">
        <v>9</v>
      </c>
      <c r="S3" s="7">
        <v>83.33</v>
      </c>
      <c r="T3" s="7">
        <v>83.33</v>
      </c>
      <c r="U3" s="9">
        <f>SUM(S3:T3)/2</f>
        <v>83.33</v>
      </c>
      <c r="W3" s="136" t="s">
        <v>25</v>
      </c>
      <c r="X3" s="6" t="s">
        <v>9</v>
      </c>
      <c r="Y3" s="7">
        <v>83.33</v>
      </c>
      <c r="Z3" s="7">
        <v>100</v>
      </c>
      <c r="AA3" s="9">
        <f>SUM(Y3:Z3)/2</f>
        <v>91.664999999999992</v>
      </c>
    </row>
    <row r="4" spans="1:27" x14ac:dyDescent="0.25">
      <c r="A4" s="137"/>
      <c r="B4" s="6" t="s">
        <v>10</v>
      </c>
      <c r="C4" s="7">
        <v>100</v>
      </c>
      <c r="D4" s="7">
        <v>100</v>
      </c>
      <c r="E4" s="7">
        <v>100</v>
      </c>
      <c r="F4" s="7">
        <v>100</v>
      </c>
      <c r="G4" s="8">
        <v>100</v>
      </c>
      <c r="H4" s="10">
        <f>SUM(C4:G4)/5</f>
        <v>100</v>
      </c>
      <c r="J4" s="137"/>
      <c r="K4" s="20" t="s">
        <v>10</v>
      </c>
      <c r="L4" s="7">
        <v>100</v>
      </c>
      <c r="M4" s="7">
        <v>100</v>
      </c>
      <c r="N4" s="7">
        <v>100</v>
      </c>
      <c r="O4" s="10">
        <f t="shared" ref="O4:O27" si="0">SUM(L4:N4)/3</f>
        <v>100</v>
      </c>
      <c r="Q4" s="137"/>
      <c r="R4" s="6" t="s">
        <v>10</v>
      </c>
      <c r="S4" s="7">
        <v>100</v>
      </c>
      <c r="T4" s="7">
        <v>100</v>
      </c>
      <c r="U4" s="10">
        <f t="shared" ref="U4:U27" si="1">SUM(S4:T4)/2</f>
        <v>100</v>
      </c>
      <c r="W4" s="137"/>
      <c r="X4" s="6" t="s">
        <v>10</v>
      </c>
      <c r="Y4" s="7">
        <v>100</v>
      </c>
      <c r="Z4" s="7">
        <v>100</v>
      </c>
      <c r="AA4" s="10">
        <f t="shared" ref="AA4:AA27" si="2">SUM(Y4:Z4)/2</f>
        <v>100</v>
      </c>
    </row>
    <row r="5" spans="1:27" x14ac:dyDescent="0.25">
      <c r="A5" s="137"/>
      <c r="B5" s="6" t="s">
        <v>11</v>
      </c>
      <c r="C5" s="7">
        <v>100</v>
      </c>
      <c r="D5" s="7">
        <v>75</v>
      </c>
      <c r="E5" s="7">
        <v>70</v>
      </c>
      <c r="F5" s="7">
        <v>100</v>
      </c>
      <c r="G5" s="8">
        <v>60</v>
      </c>
      <c r="H5" s="10">
        <f t="shared" ref="H5:H7" si="3">SUM(C5:G5)/5</f>
        <v>81</v>
      </c>
      <c r="J5" s="137"/>
      <c r="K5" s="20" t="s">
        <v>11</v>
      </c>
      <c r="L5" s="7">
        <v>100</v>
      </c>
      <c r="M5" s="7">
        <v>90</v>
      </c>
      <c r="N5" s="7">
        <v>100</v>
      </c>
      <c r="O5" s="10">
        <f t="shared" si="0"/>
        <v>96.666666666666671</v>
      </c>
      <c r="Q5" s="137"/>
      <c r="R5" s="6" t="s">
        <v>11</v>
      </c>
      <c r="S5" s="7">
        <v>50</v>
      </c>
      <c r="T5" s="7">
        <v>33.33</v>
      </c>
      <c r="U5" s="10">
        <f t="shared" si="1"/>
        <v>41.664999999999999</v>
      </c>
      <c r="W5" s="137"/>
      <c r="X5" s="6" t="s">
        <v>11</v>
      </c>
      <c r="Y5" s="7">
        <v>66.67</v>
      </c>
      <c r="Z5" s="7">
        <v>83.33</v>
      </c>
      <c r="AA5" s="10">
        <f t="shared" si="2"/>
        <v>75</v>
      </c>
    </row>
    <row r="6" spans="1:27" x14ac:dyDescent="0.25">
      <c r="A6" s="138"/>
      <c r="B6" s="11" t="s">
        <v>12</v>
      </c>
      <c r="C6" s="12">
        <v>100</v>
      </c>
      <c r="D6" s="12">
        <v>100</v>
      </c>
      <c r="E6" s="12">
        <v>100</v>
      </c>
      <c r="F6" s="12">
        <v>100</v>
      </c>
      <c r="G6" s="13">
        <v>80</v>
      </c>
      <c r="H6" s="10">
        <f t="shared" si="3"/>
        <v>96</v>
      </c>
      <c r="J6" s="138"/>
      <c r="K6" s="21" t="s">
        <v>12</v>
      </c>
      <c r="L6" s="12">
        <v>100</v>
      </c>
      <c r="M6" s="12">
        <v>100</v>
      </c>
      <c r="N6" s="12">
        <v>100</v>
      </c>
      <c r="O6" s="10">
        <f t="shared" si="0"/>
        <v>100</v>
      </c>
      <c r="Q6" s="138"/>
      <c r="R6" s="11" t="s">
        <v>12</v>
      </c>
      <c r="S6" s="12">
        <v>100</v>
      </c>
      <c r="T6" s="12">
        <v>50</v>
      </c>
      <c r="U6" s="10">
        <f t="shared" si="1"/>
        <v>75</v>
      </c>
      <c r="W6" s="138"/>
      <c r="X6" s="11" t="s">
        <v>12</v>
      </c>
      <c r="Y6" s="12">
        <v>100</v>
      </c>
      <c r="Z6" s="12">
        <v>83.33</v>
      </c>
      <c r="AA6" s="10">
        <f t="shared" si="2"/>
        <v>91.664999999999992</v>
      </c>
    </row>
    <row r="7" spans="1:27" ht="15.75" thickBot="1" x14ac:dyDescent="0.3">
      <c r="A7" s="139"/>
      <c r="B7" s="14" t="s">
        <v>13</v>
      </c>
      <c r="C7" s="15">
        <v>100</v>
      </c>
      <c r="D7" s="15">
        <v>100</v>
      </c>
      <c r="E7" s="15">
        <v>100</v>
      </c>
      <c r="F7" s="15">
        <v>100</v>
      </c>
      <c r="G7" s="16">
        <v>100</v>
      </c>
      <c r="H7" s="17">
        <f t="shared" si="3"/>
        <v>100</v>
      </c>
      <c r="J7" s="139"/>
      <c r="K7" s="22" t="s">
        <v>13</v>
      </c>
      <c r="L7" s="15">
        <v>100</v>
      </c>
      <c r="M7" s="15">
        <v>100</v>
      </c>
      <c r="N7" s="15">
        <v>100</v>
      </c>
      <c r="O7" s="17">
        <f t="shared" si="0"/>
        <v>100</v>
      </c>
      <c r="Q7" s="139"/>
      <c r="R7" s="14" t="s">
        <v>13</v>
      </c>
      <c r="S7" s="15">
        <v>100</v>
      </c>
      <c r="T7" s="15">
        <v>100</v>
      </c>
      <c r="U7" s="17">
        <f t="shared" si="1"/>
        <v>100</v>
      </c>
      <c r="W7" s="139"/>
      <c r="X7" s="14" t="s">
        <v>13</v>
      </c>
      <c r="Y7" s="15">
        <v>100</v>
      </c>
      <c r="Z7" s="15">
        <v>66.67</v>
      </c>
      <c r="AA7" s="17">
        <f t="shared" si="2"/>
        <v>83.335000000000008</v>
      </c>
    </row>
    <row r="8" spans="1:27" x14ac:dyDescent="0.25">
      <c r="A8" s="142" t="s">
        <v>14</v>
      </c>
      <c r="B8" s="6" t="s">
        <v>9</v>
      </c>
      <c r="C8" s="18">
        <v>95</v>
      </c>
      <c r="D8" s="18">
        <v>100</v>
      </c>
      <c r="E8" s="18">
        <v>100</v>
      </c>
      <c r="F8" s="18">
        <v>100</v>
      </c>
      <c r="G8" s="19">
        <v>100</v>
      </c>
      <c r="H8" s="9">
        <f t="shared" ref="H8:H27" si="4">SUM(C8:G8)/5</f>
        <v>99</v>
      </c>
      <c r="J8" s="136" t="s">
        <v>19</v>
      </c>
      <c r="K8" s="20" t="s">
        <v>9</v>
      </c>
      <c r="L8" s="18">
        <v>75</v>
      </c>
      <c r="M8" s="18">
        <v>100</v>
      </c>
      <c r="N8" s="18">
        <v>100</v>
      </c>
      <c r="O8" s="9">
        <f t="shared" si="0"/>
        <v>91.666666666666671</v>
      </c>
      <c r="Q8" s="136" t="s">
        <v>26</v>
      </c>
      <c r="R8" s="6" t="s">
        <v>9</v>
      </c>
      <c r="S8" s="18">
        <v>66.67</v>
      </c>
      <c r="T8" s="18">
        <v>100</v>
      </c>
      <c r="U8" s="9">
        <f t="shared" si="1"/>
        <v>83.335000000000008</v>
      </c>
      <c r="W8" s="136" t="s">
        <v>26</v>
      </c>
      <c r="X8" s="6" t="s">
        <v>9</v>
      </c>
      <c r="Y8" s="18">
        <v>33.33</v>
      </c>
      <c r="Z8" s="18">
        <v>83.33</v>
      </c>
      <c r="AA8" s="9">
        <f t="shared" si="2"/>
        <v>58.33</v>
      </c>
    </row>
    <row r="9" spans="1:27" x14ac:dyDescent="0.25">
      <c r="A9" s="143"/>
      <c r="B9" s="6" t="s">
        <v>10</v>
      </c>
      <c r="C9" s="7">
        <v>100</v>
      </c>
      <c r="D9" s="7">
        <v>100</v>
      </c>
      <c r="E9" s="7">
        <v>100</v>
      </c>
      <c r="F9" s="7">
        <v>100</v>
      </c>
      <c r="G9" s="8">
        <v>100</v>
      </c>
      <c r="H9" s="10">
        <f t="shared" si="4"/>
        <v>100</v>
      </c>
      <c r="J9" s="137"/>
      <c r="K9" s="20" t="s">
        <v>10</v>
      </c>
      <c r="L9" s="7">
        <v>100</v>
      </c>
      <c r="M9" s="7">
        <v>100</v>
      </c>
      <c r="N9" s="7">
        <v>100</v>
      </c>
      <c r="O9" s="10">
        <f t="shared" si="0"/>
        <v>100</v>
      </c>
      <c r="Q9" s="137"/>
      <c r="R9" s="6" t="s">
        <v>10</v>
      </c>
      <c r="S9" s="7">
        <v>100</v>
      </c>
      <c r="T9" s="7">
        <v>100</v>
      </c>
      <c r="U9" s="10">
        <f t="shared" si="1"/>
        <v>100</v>
      </c>
      <c r="W9" s="137"/>
      <c r="X9" s="6" t="s">
        <v>10</v>
      </c>
      <c r="Y9" s="7">
        <v>100</v>
      </c>
      <c r="Z9" s="7">
        <v>100</v>
      </c>
      <c r="AA9" s="10">
        <f t="shared" si="2"/>
        <v>100</v>
      </c>
    </row>
    <row r="10" spans="1:27" x14ac:dyDescent="0.25">
      <c r="A10" s="143"/>
      <c r="B10" s="6" t="s">
        <v>11</v>
      </c>
      <c r="C10" s="7">
        <v>95</v>
      </c>
      <c r="D10" s="7">
        <v>5</v>
      </c>
      <c r="E10" s="7">
        <v>75</v>
      </c>
      <c r="F10" s="7">
        <v>100</v>
      </c>
      <c r="G10" s="8">
        <v>60</v>
      </c>
      <c r="H10" s="10">
        <f t="shared" si="4"/>
        <v>67</v>
      </c>
      <c r="J10" s="137"/>
      <c r="K10" s="20" t="s">
        <v>11</v>
      </c>
      <c r="L10" s="7">
        <v>95</v>
      </c>
      <c r="M10" s="7">
        <v>100</v>
      </c>
      <c r="N10" s="7">
        <v>100</v>
      </c>
      <c r="O10" s="10">
        <f t="shared" si="0"/>
        <v>98.333333333333329</v>
      </c>
      <c r="Q10" s="137"/>
      <c r="R10" s="6" t="s">
        <v>11</v>
      </c>
      <c r="S10" s="7">
        <v>0</v>
      </c>
      <c r="T10" s="7">
        <v>83.33</v>
      </c>
      <c r="U10" s="10">
        <f t="shared" si="1"/>
        <v>41.664999999999999</v>
      </c>
      <c r="W10" s="137"/>
      <c r="X10" s="6" t="s">
        <v>11</v>
      </c>
      <c r="Y10" s="7">
        <v>16.670000000000002</v>
      </c>
      <c r="Z10" s="7">
        <v>50</v>
      </c>
      <c r="AA10" s="10">
        <f t="shared" si="2"/>
        <v>33.335000000000001</v>
      </c>
    </row>
    <row r="11" spans="1:27" x14ac:dyDescent="0.25">
      <c r="A11" s="143"/>
      <c r="B11" s="11" t="s">
        <v>12</v>
      </c>
      <c r="C11" s="12">
        <v>100</v>
      </c>
      <c r="D11" s="12">
        <v>100</v>
      </c>
      <c r="E11" s="12">
        <v>100</v>
      </c>
      <c r="F11" s="12">
        <v>100</v>
      </c>
      <c r="G11" s="13">
        <v>100</v>
      </c>
      <c r="H11" s="10">
        <f t="shared" si="4"/>
        <v>100</v>
      </c>
      <c r="J11" s="138"/>
      <c r="K11" s="21" t="s">
        <v>12</v>
      </c>
      <c r="L11" s="12">
        <v>100</v>
      </c>
      <c r="M11" s="12">
        <v>100</v>
      </c>
      <c r="N11" s="12">
        <v>75</v>
      </c>
      <c r="O11" s="10">
        <f t="shared" si="0"/>
        <v>91.666666666666671</v>
      </c>
      <c r="Q11" s="138"/>
      <c r="R11" s="11" t="s">
        <v>12</v>
      </c>
      <c r="S11" s="12">
        <v>66.67</v>
      </c>
      <c r="T11" s="12">
        <v>100</v>
      </c>
      <c r="U11" s="10">
        <f t="shared" si="1"/>
        <v>83.335000000000008</v>
      </c>
      <c r="W11" s="138"/>
      <c r="X11" s="11" t="s">
        <v>12</v>
      </c>
      <c r="Y11" s="12">
        <v>100</v>
      </c>
      <c r="Z11" s="12">
        <v>100</v>
      </c>
      <c r="AA11" s="10">
        <f t="shared" si="2"/>
        <v>100</v>
      </c>
    </row>
    <row r="12" spans="1:27" ht="15.75" thickBot="1" x14ac:dyDescent="0.3">
      <c r="A12" s="144"/>
      <c r="B12" s="14" t="s">
        <v>13</v>
      </c>
      <c r="C12" s="15">
        <v>100</v>
      </c>
      <c r="D12" s="15">
        <v>100</v>
      </c>
      <c r="E12" s="15">
        <v>100</v>
      </c>
      <c r="F12" s="15">
        <v>100</v>
      </c>
      <c r="G12" s="16">
        <v>100</v>
      </c>
      <c r="H12" s="17">
        <f t="shared" si="4"/>
        <v>100</v>
      </c>
      <c r="J12" s="139"/>
      <c r="K12" s="22" t="s">
        <v>13</v>
      </c>
      <c r="L12" s="15">
        <v>100</v>
      </c>
      <c r="M12" s="15">
        <v>95</v>
      </c>
      <c r="N12" s="15">
        <v>100</v>
      </c>
      <c r="O12" s="17">
        <f t="shared" si="0"/>
        <v>98.333333333333329</v>
      </c>
      <c r="Q12" s="139"/>
      <c r="R12" s="14" t="s">
        <v>13</v>
      </c>
      <c r="S12" s="15">
        <v>100</v>
      </c>
      <c r="T12" s="15">
        <v>100</v>
      </c>
      <c r="U12" s="17">
        <f t="shared" si="1"/>
        <v>100</v>
      </c>
      <c r="W12" s="139"/>
      <c r="X12" s="14" t="s">
        <v>13</v>
      </c>
      <c r="Y12" s="15">
        <v>100</v>
      </c>
      <c r="Z12" s="15">
        <v>100</v>
      </c>
      <c r="AA12" s="17">
        <f t="shared" si="2"/>
        <v>100</v>
      </c>
    </row>
    <row r="13" spans="1:27" x14ac:dyDescent="0.25">
      <c r="A13" s="142" t="s">
        <v>15</v>
      </c>
      <c r="B13" s="6" t="s">
        <v>9</v>
      </c>
      <c r="C13" s="18">
        <v>100</v>
      </c>
      <c r="D13" s="18">
        <v>95</v>
      </c>
      <c r="E13" s="18">
        <v>100</v>
      </c>
      <c r="F13" s="18">
        <v>75</v>
      </c>
      <c r="G13" s="19">
        <v>95</v>
      </c>
      <c r="H13" s="9">
        <f t="shared" si="4"/>
        <v>93</v>
      </c>
      <c r="J13" s="136" t="s">
        <v>20</v>
      </c>
      <c r="K13" s="20" t="s">
        <v>9</v>
      </c>
      <c r="L13" s="18">
        <v>100</v>
      </c>
      <c r="M13" s="18">
        <v>100</v>
      </c>
      <c r="N13" s="18">
        <f>18*100/20</f>
        <v>90</v>
      </c>
      <c r="O13" s="9">
        <f t="shared" si="0"/>
        <v>96.666666666666671</v>
      </c>
      <c r="Q13" s="136" t="s">
        <v>27</v>
      </c>
      <c r="R13" s="6" t="s">
        <v>9</v>
      </c>
      <c r="S13" s="18">
        <v>100</v>
      </c>
      <c r="T13" s="18">
        <v>83.33</v>
      </c>
      <c r="U13" s="9">
        <f t="shared" si="1"/>
        <v>91.664999999999992</v>
      </c>
      <c r="W13" s="136" t="s">
        <v>27</v>
      </c>
      <c r="X13" s="6" t="s">
        <v>9</v>
      </c>
      <c r="Y13" s="18">
        <v>66.67</v>
      </c>
      <c r="Z13" s="18">
        <v>100</v>
      </c>
      <c r="AA13" s="9">
        <f t="shared" si="2"/>
        <v>83.335000000000008</v>
      </c>
    </row>
    <row r="14" spans="1:27" x14ac:dyDescent="0.25">
      <c r="A14" s="143"/>
      <c r="B14" s="6" t="s">
        <v>10</v>
      </c>
      <c r="C14" s="7">
        <v>100</v>
      </c>
      <c r="D14" s="7">
        <v>100</v>
      </c>
      <c r="E14" s="7">
        <v>100</v>
      </c>
      <c r="F14" s="7">
        <v>100</v>
      </c>
      <c r="G14" s="8">
        <v>100</v>
      </c>
      <c r="H14" s="10">
        <f t="shared" si="4"/>
        <v>100</v>
      </c>
      <c r="J14" s="137"/>
      <c r="K14" s="20" t="s">
        <v>10</v>
      </c>
      <c r="L14" s="7">
        <v>100</v>
      </c>
      <c r="M14" s="7">
        <v>100</v>
      </c>
      <c r="N14" s="7">
        <v>100</v>
      </c>
      <c r="O14" s="10">
        <f t="shared" si="0"/>
        <v>100</v>
      </c>
      <c r="Q14" s="137"/>
      <c r="R14" s="6" t="s">
        <v>10</v>
      </c>
      <c r="S14" s="7">
        <v>100</v>
      </c>
      <c r="T14" s="7">
        <v>100</v>
      </c>
      <c r="U14" s="10">
        <f t="shared" si="1"/>
        <v>100</v>
      </c>
      <c r="W14" s="137"/>
      <c r="X14" s="6" t="s">
        <v>10</v>
      </c>
      <c r="Y14" s="7">
        <v>100</v>
      </c>
      <c r="Z14" s="7">
        <v>100</v>
      </c>
      <c r="AA14" s="10">
        <f t="shared" si="2"/>
        <v>100</v>
      </c>
    </row>
    <row r="15" spans="1:27" x14ac:dyDescent="0.25">
      <c r="A15" s="143"/>
      <c r="B15" s="6" t="s">
        <v>11</v>
      </c>
      <c r="C15" s="7">
        <v>85</v>
      </c>
      <c r="D15" s="7">
        <v>5</v>
      </c>
      <c r="E15" s="7">
        <v>85</v>
      </c>
      <c r="F15" s="7">
        <v>75</v>
      </c>
      <c r="G15" s="8">
        <v>85</v>
      </c>
      <c r="H15" s="10">
        <f t="shared" si="4"/>
        <v>67</v>
      </c>
      <c r="J15" s="137"/>
      <c r="K15" s="20" t="s">
        <v>11</v>
      </c>
      <c r="L15" s="7">
        <v>100</v>
      </c>
      <c r="M15" s="7">
        <v>100</v>
      </c>
      <c r="N15" s="7">
        <v>100</v>
      </c>
      <c r="O15" s="10">
        <f t="shared" si="0"/>
        <v>100</v>
      </c>
      <c r="Q15" s="137"/>
      <c r="R15" s="6" t="s">
        <v>11</v>
      </c>
      <c r="S15" s="7">
        <v>0</v>
      </c>
      <c r="T15" s="7">
        <v>50</v>
      </c>
      <c r="U15" s="10">
        <f t="shared" si="1"/>
        <v>25</v>
      </c>
      <c r="W15" s="137"/>
      <c r="X15" s="6" t="s">
        <v>11</v>
      </c>
      <c r="Y15" s="7">
        <v>16.670000000000002</v>
      </c>
      <c r="Z15" s="7">
        <v>100</v>
      </c>
      <c r="AA15" s="10">
        <f t="shared" si="2"/>
        <v>58.335000000000001</v>
      </c>
    </row>
    <row r="16" spans="1:27" x14ac:dyDescent="0.25">
      <c r="A16" s="143"/>
      <c r="B16" s="11" t="s">
        <v>12</v>
      </c>
      <c r="C16" s="12">
        <v>95</v>
      </c>
      <c r="D16" s="12">
        <v>100</v>
      </c>
      <c r="E16" s="12">
        <v>100</v>
      </c>
      <c r="F16" s="12">
        <v>95</v>
      </c>
      <c r="G16" s="13">
        <v>100</v>
      </c>
      <c r="H16" s="10">
        <f t="shared" si="4"/>
        <v>98</v>
      </c>
      <c r="J16" s="138"/>
      <c r="K16" s="21" t="s">
        <v>12</v>
      </c>
      <c r="L16" s="12">
        <v>100</v>
      </c>
      <c r="M16" s="12">
        <v>100</v>
      </c>
      <c r="N16" s="12">
        <v>100</v>
      </c>
      <c r="O16" s="10">
        <f t="shared" si="0"/>
        <v>100</v>
      </c>
      <c r="Q16" s="138"/>
      <c r="R16" s="11" t="s">
        <v>12</v>
      </c>
      <c r="S16" s="12">
        <v>83.33</v>
      </c>
      <c r="T16" s="12">
        <v>83.33</v>
      </c>
      <c r="U16" s="10">
        <f t="shared" si="1"/>
        <v>83.33</v>
      </c>
      <c r="W16" s="138"/>
      <c r="X16" s="11" t="s">
        <v>12</v>
      </c>
      <c r="Y16" s="12">
        <v>83.33</v>
      </c>
      <c r="Z16" s="12">
        <v>83.33</v>
      </c>
      <c r="AA16" s="10">
        <f t="shared" si="2"/>
        <v>83.33</v>
      </c>
    </row>
    <row r="17" spans="1:30" ht="15.75" thickBot="1" x14ac:dyDescent="0.3">
      <c r="A17" s="144"/>
      <c r="B17" s="14" t="s">
        <v>13</v>
      </c>
      <c r="C17" s="15">
        <v>100</v>
      </c>
      <c r="D17" s="15">
        <v>100</v>
      </c>
      <c r="E17" s="15">
        <v>100</v>
      </c>
      <c r="F17" s="15">
        <v>100</v>
      </c>
      <c r="G17" s="16">
        <v>100</v>
      </c>
      <c r="H17" s="17">
        <f t="shared" si="4"/>
        <v>100</v>
      </c>
      <c r="J17" s="139"/>
      <c r="K17" s="22" t="s">
        <v>13</v>
      </c>
      <c r="L17" s="15">
        <v>100</v>
      </c>
      <c r="M17" s="15">
        <v>95</v>
      </c>
      <c r="N17" s="15">
        <v>100</v>
      </c>
      <c r="O17" s="17">
        <f t="shared" si="0"/>
        <v>98.333333333333329</v>
      </c>
      <c r="Q17" s="139"/>
      <c r="R17" s="14" t="s">
        <v>13</v>
      </c>
      <c r="S17" s="15">
        <v>100</v>
      </c>
      <c r="T17" s="15">
        <v>100</v>
      </c>
      <c r="U17" s="17">
        <f t="shared" si="1"/>
        <v>100</v>
      </c>
      <c r="W17" s="139"/>
      <c r="X17" s="14" t="s">
        <v>13</v>
      </c>
      <c r="Y17" s="15">
        <v>100</v>
      </c>
      <c r="Z17" s="15">
        <v>100</v>
      </c>
      <c r="AA17" s="17">
        <f t="shared" si="2"/>
        <v>100</v>
      </c>
    </row>
    <row r="18" spans="1:30" x14ac:dyDescent="0.25">
      <c r="A18" s="142" t="s">
        <v>16</v>
      </c>
      <c r="B18" s="6" t="s">
        <v>9</v>
      </c>
      <c r="C18" s="18">
        <v>75</v>
      </c>
      <c r="D18" s="18">
        <v>70</v>
      </c>
      <c r="E18" s="18">
        <v>95</v>
      </c>
      <c r="F18" s="18">
        <v>75</v>
      </c>
      <c r="G18" s="19">
        <v>85</v>
      </c>
      <c r="H18" s="9">
        <f t="shared" si="4"/>
        <v>80</v>
      </c>
      <c r="J18" s="136" t="s">
        <v>21</v>
      </c>
      <c r="K18" s="20" t="s">
        <v>9</v>
      </c>
      <c r="L18" s="18">
        <v>95</v>
      </c>
      <c r="M18" s="18">
        <v>95</v>
      </c>
      <c r="N18" s="18">
        <v>75</v>
      </c>
      <c r="O18" s="9">
        <f t="shared" si="0"/>
        <v>88.333333333333329</v>
      </c>
      <c r="Q18" s="136" t="s">
        <v>28</v>
      </c>
      <c r="R18" s="6" t="s">
        <v>9</v>
      </c>
      <c r="S18" s="18">
        <v>66.67</v>
      </c>
      <c r="T18" s="18">
        <v>100</v>
      </c>
      <c r="U18" s="9">
        <f t="shared" si="1"/>
        <v>83.335000000000008</v>
      </c>
      <c r="W18" s="136" t="s">
        <v>28</v>
      </c>
      <c r="X18" s="6" t="s">
        <v>9</v>
      </c>
      <c r="Y18" s="18">
        <v>66.67</v>
      </c>
      <c r="Z18" s="18">
        <v>100</v>
      </c>
      <c r="AA18" s="9">
        <f t="shared" si="2"/>
        <v>83.335000000000008</v>
      </c>
    </row>
    <row r="19" spans="1:30" x14ac:dyDescent="0.25">
      <c r="A19" s="143"/>
      <c r="B19" s="6" t="s">
        <v>10</v>
      </c>
      <c r="C19" s="7">
        <v>100</v>
      </c>
      <c r="D19" s="7">
        <v>100</v>
      </c>
      <c r="E19" s="7">
        <v>100</v>
      </c>
      <c r="F19" s="7">
        <v>100</v>
      </c>
      <c r="G19" s="8">
        <v>100</v>
      </c>
      <c r="H19" s="10">
        <f t="shared" si="4"/>
        <v>100</v>
      </c>
      <c r="J19" s="137"/>
      <c r="K19" s="20" t="s">
        <v>10</v>
      </c>
      <c r="L19" s="7">
        <v>100</v>
      </c>
      <c r="M19" s="7">
        <v>100</v>
      </c>
      <c r="N19" s="7">
        <v>100</v>
      </c>
      <c r="O19" s="10">
        <f t="shared" si="0"/>
        <v>100</v>
      </c>
      <c r="Q19" s="137"/>
      <c r="R19" s="6" t="s">
        <v>10</v>
      </c>
      <c r="S19" s="7">
        <v>100</v>
      </c>
      <c r="T19" s="7">
        <v>100</v>
      </c>
      <c r="U19" s="10">
        <f t="shared" si="1"/>
        <v>100</v>
      </c>
      <c r="W19" s="137"/>
      <c r="X19" s="6" t="s">
        <v>10</v>
      </c>
      <c r="Y19" s="7">
        <v>100</v>
      </c>
      <c r="Z19" s="7">
        <v>100</v>
      </c>
      <c r="AA19" s="10">
        <f t="shared" si="2"/>
        <v>100</v>
      </c>
    </row>
    <row r="20" spans="1:30" x14ac:dyDescent="0.25">
      <c r="A20" s="143"/>
      <c r="B20" s="6" t="s">
        <v>11</v>
      </c>
      <c r="C20" s="7">
        <v>45</v>
      </c>
      <c r="D20" s="7">
        <v>10</v>
      </c>
      <c r="E20" s="7">
        <v>75</v>
      </c>
      <c r="F20" s="7">
        <v>65</v>
      </c>
      <c r="G20" s="8">
        <v>85</v>
      </c>
      <c r="H20" s="10">
        <f t="shared" si="4"/>
        <v>56</v>
      </c>
      <c r="J20" s="137"/>
      <c r="K20" s="20" t="s">
        <v>11</v>
      </c>
      <c r="L20" s="7">
        <v>100</v>
      </c>
      <c r="M20" s="7">
        <v>100</v>
      </c>
      <c r="N20" s="7">
        <v>80</v>
      </c>
      <c r="O20" s="10">
        <f t="shared" si="0"/>
        <v>93.333333333333329</v>
      </c>
      <c r="Q20" s="137"/>
      <c r="R20" s="6" t="s">
        <v>11</v>
      </c>
      <c r="S20" s="7">
        <v>0</v>
      </c>
      <c r="T20" s="7">
        <v>83.33</v>
      </c>
      <c r="U20" s="10">
        <f t="shared" si="1"/>
        <v>41.664999999999999</v>
      </c>
      <c r="W20" s="137"/>
      <c r="X20" s="6" t="s">
        <v>11</v>
      </c>
      <c r="Y20" s="7">
        <v>0</v>
      </c>
      <c r="Z20" s="7">
        <v>100</v>
      </c>
      <c r="AA20" s="10">
        <f t="shared" si="2"/>
        <v>50</v>
      </c>
    </row>
    <row r="21" spans="1:30" x14ac:dyDescent="0.25">
      <c r="A21" s="143"/>
      <c r="B21" s="11" t="s">
        <v>12</v>
      </c>
      <c r="C21" s="12">
        <v>95</v>
      </c>
      <c r="D21" s="12">
        <v>95</v>
      </c>
      <c r="E21" s="12">
        <v>100</v>
      </c>
      <c r="F21" s="12">
        <v>100</v>
      </c>
      <c r="G21" s="13">
        <v>90</v>
      </c>
      <c r="H21" s="10">
        <f t="shared" si="4"/>
        <v>96</v>
      </c>
      <c r="J21" s="138"/>
      <c r="K21" s="21" t="s">
        <v>12</v>
      </c>
      <c r="L21" s="12">
        <v>100</v>
      </c>
      <c r="M21" s="12">
        <v>100</v>
      </c>
      <c r="N21" s="12">
        <v>100</v>
      </c>
      <c r="O21" s="10">
        <f t="shared" si="0"/>
        <v>100</v>
      </c>
      <c r="Q21" s="138"/>
      <c r="R21" s="11" t="s">
        <v>12</v>
      </c>
      <c r="S21" s="12">
        <v>50</v>
      </c>
      <c r="T21" s="12">
        <v>66.67</v>
      </c>
      <c r="U21" s="10">
        <f t="shared" si="1"/>
        <v>58.335000000000001</v>
      </c>
      <c r="W21" s="138"/>
      <c r="X21" s="11" t="s">
        <v>12</v>
      </c>
      <c r="Y21" s="12">
        <v>100</v>
      </c>
      <c r="Z21" s="12">
        <v>83.33</v>
      </c>
      <c r="AA21" s="10">
        <f t="shared" si="2"/>
        <v>91.664999999999992</v>
      </c>
    </row>
    <row r="22" spans="1:30" ht="15.75" thickBot="1" x14ac:dyDescent="0.3">
      <c r="A22" s="144"/>
      <c r="B22" s="14" t="s">
        <v>13</v>
      </c>
      <c r="C22" s="15">
        <v>100</v>
      </c>
      <c r="D22" s="15">
        <v>100</v>
      </c>
      <c r="E22" s="15">
        <v>95</v>
      </c>
      <c r="F22" s="15">
        <v>100</v>
      </c>
      <c r="G22" s="16">
        <v>100</v>
      </c>
      <c r="H22" s="17">
        <f t="shared" si="4"/>
        <v>99</v>
      </c>
      <c r="J22" s="139"/>
      <c r="K22" s="22" t="s">
        <v>13</v>
      </c>
      <c r="L22" s="15">
        <v>100</v>
      </c>
      <c r="M22" s="15">
        <v>100</v>
      </c>
      <c r="N22" s="15">
        <v>100</v>
      </c>
      <c r="O22" s="17">
        <f t="shared" si="0"/>
        <v>100</v>
      </c>
      <c r="Q22" s="139"/>
      <c r="R22" s="14" t="s">
        <v>13</v>
      </c>
      <c r="S22" s="15">
        <v>100</v>
      </c>
      <c r="T22" s="15">
        <v>100</v>
      </c>
      <c r="U22" s="17">
        <f t="shared" si="1"/>
        <v>100</v>
      </c>
      <c r="W22" s="139"/>
      <c r="X22" s="14" t="s">
        <v>13</v>
      </c>
      <c r="Y22" s="15">
        <v>100</v>
      </c>
      <c r="Z22" s="15">
        <v>100</v>
      </c>
      <c r="AA22" s="17">
        <f t="shared" si="2"/>
        <v>100</v>
      </c>
    </row>
    <row r="23" spans="1:30" x14ac:dyDescent="0.25">
      <c r="A23" s="136" t="s">
        <v>17</v>
      </c>
      <c r="B23" s="6" t="s">
        <v>9</v>
      </c>
      <c r="C23" s="18">
        <v>15</v>
      </c>
      <c r="D23" s="18">
        <v>0</v>
      </c>
      <c r="E23" s="18">
        <v>30</v>
      </c>
      <c r="F23" s="18">
        <v>20</v>
      </c>
      <c r="G23" s="19">
        <v>5</v>
      </c>
      <c r="H23" s="10">
        <f t="shared" si="4"/>
        <v>14</v>
      </c>
      <c r="J23" s="136" t="s">
        <v>22</v>
      </c>
      <c r="K23" s="50" t="s">
        <v>9</v>
      </c>
      <c r="L23" s="18">
        <v>55</v>
      </c>
      <c r="M23" s="18">
        <v>40</v>
      </c>
      <c r="N23" s="18">
        <v>50</v>
      </c>
      <c r="O23" s="9">
        <f t="shared" si="0"/>
        <v>48.333333333333336</v>
      </c>
      <c r="Q23" s="136" t="s">
        <v>29</v>
      </c>
      <c r="R23" s="23" t="s">
        <v>9</v>
      </c>
      <c r="S23" s="18">
        <v>83.33</v>
      </c>
      <c r="T23" s="18">
        <v>83.33</v>
      </c>
      <c r="U23" s="9">
        <f t="shared" si="1"/>
        <v>83.33</v>
      </c>
      <c r="W23" s="136" t="s">
        <v>29</v>
      </c>
      <c r="X23" s="23" t="s">
        <v>9</v>
      </c>
      <c r="Y23" s="18">
        <v>33.33</v>
      </c>
      <c r="Z23" s="18">
        <v>50</v>
      </c>
      <c r="AA23" s="9">
        <f t="shared" si="2"/>
        <v>41.664999999999999</v>
      </c>
    </row>
    <row r="24" spans="1:30" x14ac:dyDescent="0.25">
      <c r="A24" s="137"/>
      <c r="B24" s="6" t="s">
        <v>10</v>
      </c>
      <c r="C24" s="7">
        <v>95</v>
      </c>
      <c r="D24" s="7">
        <v>100</v>
      </c>
      <c r="E24" s="7">
        <v>100</v>
      </c>
      <c r="F24" s="7">
        <v>100</v>
      </c>
      <c r="G24" s="8">
        <v>100</v>
      </c>
      <c r="H24" s="10">
        <f t="shared" si="4"/>
        <v>99</v>
      </c>
      <c r="J24" s="137"/>
      <c r="K24" s="20" t="s">
        <v>10</v>
      </c>
      <c r="L24" s="7">
        <v>95</v>
      </c>
      <c r="M24" s="7">
        <v>100</v>
      </c>
      <c r="N24" s="7">
        <v>95</v>
      </c>
      <c r="O24" s="10">
        <f t="shared" ref="O24:O25" si="5">SUM(L24:N24)/3</f>
        <v>96.666666666666671</v>
      </c>
      <c r="Q24" s="137"/>
      <c r="R24" s="6" t="s">
        <v>10</v>
      </c>
      <c r="S24" s="7">
        <v>100</v>
      </c>
      <c r="T24" s="7">
        <v>100</v>
      </c>
      <c r="U24" s="10">
        <f t="shared" si="1"/>
        <v>100</v>
      </c>
      <c r="W24" s="137"/>
      <c r="X24" s="6" t="s">
        <v>10</v>
      </c>
      <c r="Y24" s="7">
        <v>100</v>
      </c>
      <c r="Z24" s="7">
        <v>100</v>
      </c>
      <c r="AA24" s="10">
        <f t="shared" si="2"/>
        <v>100</v>
      </c>
    </row>
    <row r="25" spans="1:30" x14ac:dyDescent="0.25">
      <c r="A25" s="137"/>
      <c r="B25" s="6" t="s">
        <v>11</v>
      </c>
      <c r="C25" s="7">
        <v>50</v>
      </c>
      <c r="D25" s="7">
        <v>10</v>
      </c>
      <c r="E25" s="7">
        <v>55</v>
      </c>
      <c r="F25" s="7">
        <v>85</v>
      </c>
      <c r="G25" s="8">
        <v>40</v>
      </c>
      <c r="H25" s="10">
        <f t="shared" si="4"/>
        <v>48</v>
      </c>
      <c r="J25" s="137"/>
      <c r="K25" s="20" t="s">
        <v>11</v>
      </c>
      <c r="L25" s="7">
        <v>100</v>
      </c>
      <c r="M25" s="7">
        <v>80</v>
      </c>
      <c r="N25" s="7">
        <v>85</v>
      </c>
      <c r="O25" s="10">
        <f t="shared" si="5"/>
        <v>88.333333333333329</v>
      </c>
      <c r="Q25" s="137"/>
      <c r="R25" s="6" t="s">
        <v>11</v>
      </c>
      <c r="S25" s="7">
        <v>0</v>
      </c>
      <c r="T25" s="7">
        <v>50</v>
      </c>
      <c r="U25" s="10">
        <f t="shared" si="1"/>
        <v>25</v>
      </c>
      <c r="W25" s="137"/>
      <c r="X25" s="6" t="s">
        <v>11</v>
      </c>
      <c r="Y25" s="7">
        <v>16.670000000000002</v>
      </c>
      <c r="Z25" s="7">
        <v>33.33</v>
      </c>
      <c r="AA25" s="10">
        <f t="shared" si="2"/>
        <v>25</v>
      </c>
    </row>
    <row r="26" spans="1:30" x14ac:dyDescent="0.25">
      <c r="A26" s="138"/>
      <c r="B26" s="11" t="s">
        <v>12</v>
      </c>
      <c r="C26" s="12">
        <v>95</v>
      </c>
      <c r="D26" s="12">
        <v>100</v>
      </c>
      <c r="E26" s="12">
        <v>80</v>
      </c>
      <c r="F26" s="12">
        <v>100</v>
      </c>
      <c r="G26" s="13">
        <v>65</v>
      </c>
      <c r="H26" s="10">
        <f t="shared" si="4"/>
        <v>88</v>
      </c>
      <c r="J26" s="138"/>
      <c r="K26" s="21" t="s">
        <v>12</v>
      </c>
      <c r="L26" s="12">
        <v>100</v>
      </c>
      <c r="M26" s="12">
        <v>100</v>
      </c>
      <c r="N26" s="12">
        <v>100</v>
      </c>
      <c r="O26" s="10">
        <f t="shared" si="0"/>
        <v>100</v>
      </c>
      <c r="Q26" s="138"/>
      <c r="R26" s="11" t="s">
        <v>12</v>
      </c>
      <c r="S26" s="12">
        <v>50</v>
      </c>
      <c r="T26" s="12">
        <v>83.33</v>
      </c>
      <c r="U26" s="10">
        <f t="shared" si="1"/>
        <v>66.664999999999992</v>
      </c>
      <c r="W26" s="138"/>
      <c r="X26" s="11" t="s">
        <v>12</v>
      </c>
      <c r="Y26" s="12">
        <v>66.67</v>
      </c>
      <c r="Z26" s="12">
        <v>50</v>
      </c>
      <c r="AA26" s="10">
        <f t="shared" si="2"/>
        <v>58.335000000000001</v>
      </c>
    </row>
    <row r="27" spans="1:30" ht="15.75" thickBot="1" x14ac:dyDescent="0.3">
      <c r="A27" s="139"/>
      <c r="B27" s="14" t="s">
        <v>13</v>
      </c>
      <c r="C27" s="15">
        <v>100</v>
      </c>
      <c r="D27" s="15">
        <v>100</v>
      </c>
      <c r="E27" s="15">
        <v>100</v>
      </c>
      <c r="F27" s="15">
        <v>100</v>
      </c>
      <c r="G27" s="16">
        <v>100</v>
      </c>
      <c r="H27" s="17">
        <f t="shared" si="4"/>
        <v>100</v>
      </c>
      <c r="J27" s="139"/>
      <c r="K27" s="22" t="s">
        <v>13</v>
      </c>
      <c r="L27" s="15">
        <v>100</v>
      </c>
      <c r="M27" s="15">
        <v>100</v>
      </c>
      <c r="N27" s="15">
        <v>100</v>
      </c>
      <c r="O27" s="17">
        <f t="shared" si="0"/>
        <v>100</v>
      </c>
      <c r="Q27" s="139"/>
      <c r="R27" s="14" t="s">
        <v>13</v>
      </c>
      <c r="S27" s="15">
        <v>100</v>
      </c>
      <c r="T27" s="15">
        <v>100</v>
      </c>
      <c r="U27" s="17">
        <f t="shared" si="1"/>
        <v>100</v>
      </c>
      <c r="W27" s="139"/>
      <c r="X27" s="14" t="s">
        <v>13</v>
      </c>
      <c r="Y27" s="15">
        <v>100</v>
      </c>
      <c r="Z27" s="15">
        <v>83.33</v>
      </c>
      <c r="AA27" s="17">
        <f t="shared" si="2"/>
        <v>91.664999999999992</v>
      </c>
    </row>
    <row r="29" spans="1:30" ht="15.75" thickBot="1" x14ac:dyDescent="0.3">
      <c r="B29" s="49" t="s">
        <v>41</v>
      </c>
      <c r="K29" s="49" t="s">
        <v>41</v>
      </c>
      <c r="R29" s="49" t="s">
        <v>41</v>
      </c>
      <c r="X29" s="49" t="s">
        <v>41</v>
      </c>
    </row>
    <row r="30" spans="1:30" ht="15.75" thickBot="1" x14ac:dyDescent="0.3">
      <c r="B30" s="2" t="s">
        <v>1</v>
      </c>
      <c r="C30" s="3" t="s">
        <v>2</v>
      </c>
      <c r="D30" s="3" t="s">
        <v>3</v>
      </c>
      <c r="E30" s="3" t="s">
        <v>4</v>
      </c>
      <c r="F30" s="3" t="s">
        <v>5</v>
      </c>
      <c r="G30" s="4" t="s">
        <v>6</v>
      </c>
      <c r="H30" s="5" t="s">
        <v>7</v>
      </c>
      <c r="K30" s="2" t="s">
        <v>1</v>
      </c>
      <c r="L30" s="3" t="s">
        <v>2</v>
      </c>
      <c r="M30" s="3" t="s">
        <v>3</v>
      </c>
      <c r="N30" s="3" t="s">
        <v>4</v>
      </c>
      <c r="O30" s="5" t="s">
        <v>7</v>
      </c>
      <c r="R30" s="2" t="s">
        <v>1</v>
      </c>
      <c r="S30" s="3" t="s">
        <v>2</v>
      </c>
      <c r="T30" s="3" t="s">
        <v>3</v>
      </c>
      <c r="U30" s="5" t="s">
        <v>7</v>
      </c>
      <c r="X30" s="2" t="s">
        <v>1</v>
      </c>
      <c r="Y30" s="3" t="s">
        <v>4</v>
      </c>
      <c r="Z30" s="3" t="s">
        <v>5</v>
      </c>
      <c r="AA30" s="5" t="s">
        <v>7</v>
      </c>
      <c r="AC30" s="2" t="s">
        <v>1</v>
      </c>
      <c r="AD30" s="1" t="s">
        <v>7</v>
      </c>
    </row>
    <row r="31" spans="1:30" x14ac:dyDescent="0.25">
      <c r="B31" s="20" t="s">
        <v>9</v>
      </c>
      <c r="C31" s="8">
        <f>ROUNDUP((C3+C8+C13+C18+C23)/5,2)</f>
        <v>77</v>
      </c>
      <c r="D31" s="8">
        <f t="shared" ref="D31:G31" si="6">ROUNDUP((D3+D8+D13+D18+D23)/5,2)</f>
        <v>73</v>
      </c>
      <c r="E31" s="8">
        <f t="shared" si="6"/>
        <v>85</v>
      </c>
      <c r="F31" s="8">
        <f t="shared" si="6"/>
        <v>74</v>
      </c>
      <c r="G31" s="8">
        <f t="shared" si="6"/>
        <v>77</v>
      </c>
      <c r="H31" s="133">
        <f>ROUNDUP((H3+H8+H13+H18+H23)/5,2)</f>
        <v>77.2</v>
      </c>
      <c r="K31" s="20" t="s">
        <v>9</v>
      </c>
      <c r="L31" s="7">
        <f t="shared" ref="L31:O35" si="7">ROUNDUP((L3+L8+L13+L18+L23)/5,2)</f>
        <v>85</v>
      </c>
      <c r="M31" s="7">
        <f t="shared" si="7"/>
        <v>86</v>
      </c>
      <c r="N31" s="7">
        <f t="shared" si="7"/>
        <v>83</v>
      </c>
      <c r="O31" s="9">
        <f t="shared" si="7"/>
        <v>84.67</v>
      </c>
      <c r="R31" s="20" t="s">
        <v>9</v>
      </c>
      <c r="S31" s="7">
        <f t="shared" ref="S31:U35" si="8">ROUNDUP((S3+S8+S13+S18+S23)/5,2)</f>
        <v>80</v>
      </c>
      <c r="T31" s="7">
        <f t="shared" si="8"/>
        <v>90</v>
      </c>
      <c r="U31" s="9">
        <f t="shared" si="8"/>
        <v>85</v>
      </c>
      <c r="X31" s="20" t="s">
        <v>9</v>
      </c>
      <c r="Y31" s="7">
        <f t="shared" ref="Y31:AA35" si="9">ROUNDUP((Y3+Y8)/2,2)</f>
        <v>58.33</v>
      </c>
      <c r="Z31" s="7">
        <f t="shared" si="9"/>
        <v>91.67</v>
      </c>
      <c r="AA31" s="9">
        <f t="shared" si="9"/>
        <v>75</v>
      </c>
      <c r="AC31" s="24" t="s">
        <v>9</v>
      </c>
      <c r="AD31" s="27">
        <f>100*($B$38*H31/100+$K$38*O31/100+$R$38*U31/100+$X$38*AA31/100)/($B$38+$K$38+$R$38+$X$38)</f>
        <v>80.001086956521746</v>
      </c>
    </row>
    <row r="32" spans="1:30" x14ac:dyDescent="0.25">
      <c r="B32" s="20" t="s">
        <v>10</v>
      </c>
      <c r="C32" s="8">
        <f t="shared" ref="C32:H35" si="10">ROUNDUP((C4+C9+C14+C19+C24)/5,2)</f>
        <v>99</v>
      </c>
      <c r="D32" s="8">
        <f t="shared" si="10"/>
        <v>100</v>
      </c>
      <c r="E32" s="8">
        <f t="shared" si="10"/>
        <v>100</v>
      </c>
      <c r="F32" s="8">
        <f t="shared" si="10"/>
        <v>100</v>
      </c>
      <c r="G32" s="8">
        <f t="shared" si="10"/>
        <v>100</v>
      </c>
      <c r="H32" s="133">
        <f t="shared" si="10"/>
        <v>99.8</v>
      </c>
      <c r="K32" s="20" t="s">
        <v>10</v>
      </c>
      <c r="L32" s="7">
        <f t="shared" si="7"/>
        <v>99</v>
      </c>
      <c r="M32" s="7">
        <f t="shared" si="7"/>
        <v>100</v>
      </c>
      <c r="N32" s="7">
        <f t="shared" si="7"/>
        <v>99</v>
      </c>
      <c r="O32" s="10">
        <f t="shared" si="7"/>
        <v>99.34</v>
      </c>
      <c r="R32" s="20" t="s">
        <v>10</v>
      </c>
      <c r="S32" s="7">
        <f t="shared" si="8"/>
        <v>100</v>
      </c>
      <c r="T32" s="7">
        <f t="shared" si="8"/>
        <v>100</v>
      </c>
      <c r="U32" s="10">
        <f t="shared" si="8"/>
        <v>100</v>
      </c>
      <c r="X32" s="20" t="s">
        <v>10</v>
      </c>
      <c r="Y32" s="7">
        <f t="shared" si="9"/>
        <v>100</v>
      </c>
      <c r="Z32" s="7">
        <f t="shared" si="9"/>
        <v>100</v>
      </c>
      <c r="AA32" s="10">
        <f t="shared" si="9"/>
        <v>100</v>
      </c>
      <c r="AC32" s="24" t="s">
        <v>10</v>
      </c>
      <c r="AD32" s="27">
        <f t="shared" ref="AD32:AD35" si="11">100*($B$38*H32/100+$K$38*O32/100+$R$38*U32/100+$X$38*AA32/100)/($B$38+$K$38+$R$38+$X$38)</f>
        <v>99.676086956521743</v>
      </c>
    </row>
    <row r="33" spans="1:30" x14ac:dyDescent="0.25">
      <c r="B33" s="20" t="s">
        <v>11</v>
      </c>
      <c r="C33" s="8">
        <f t="shared" si="10"/>
        <v>75</v>
      </c>
      <c r="D33" s="8">
        <f t="shared" si="10"/>
        <v>21</v>
      </c>
      <c r="E33" s="8">
        <f t="shared" si="10"/>
        <v>72</v>
      </c>
      <c r="F33" s="8">
        <f t="shared" si="10"/>
        <v>85</v>
      </c>
      <c r="G33" s="8">
        <f t="shared" si="10"/>
        <v>66</v>
      </c>
      <c r="H33" s="133">
        <f t="shared" si="10"/>
        <v>63.8</v>
      </c>
      <c r="K33" s="20" t="s">
        <v>11</v>
      </c>
      <c r="L33" s="7">
        <f t="shared" si="7"/>
        <v>99</v>
      </c>
      <c r="M33" s="7">
        <f t="shared" si="7"/>
        <v>94</v>
      </c>
      <c r="N33" s="7">
        <f t="shared" si="7"/>
        <v>93</v>
      </c>
      <c r="O33" s="10">
        <f t="shared" si="7"/>
        <v>95.34</v>
      </c>
      <c r="R33" s="20" t="s">
        <v>11</v>
      </c>
      <c r="S33" s="7">
        <f t="shared" si="8"/>
        <v>10</v>
      </c>
      <c r="T33" s="7">
        <f t="shared" si="8"/>
        <v>60</v>
      </c>
      <c r="U33" s="10">
        <f t="shared" si="8"/>
        <v>35</v>
      </c>
      <c r="X33" s="20" t="s">
        <v>11</v>
      </c>
      <c r="Y33" s="7">
        <f t="shared" si="9"/>
        <v>41.67</v>
      </c>
      <c r="Z33" s="7">
        <f t="shared" si="9"/>
        <v>66.67</v>
      </c>
      <c r="AA33" s="10">
        <f t="shared" si="9"/>
        <v>54.169999999999995</v>
      </c>
      <c r="AC33" s="24" t="s">
        <v>11</v>
      </c>
      <c r="AD33" s="27">
        <f t="shared" si="11"/>
        <v>71.578478260869559</v>
      </c>
    </row>
    <row r="34" spans="1:30" x14ac:dyDescent="0.25">
      <c r="B34" s="21" t="s">
        <v>12</v>
      </c>
      <c r="C34" s="8">
        <f t="shared" si="10"/>
        <v>97</v>
      </c>
      <c r="D34" s="8">
        <f t="shared" si="10"/>
        <v>99</v>
      </c>
      <c r="E34" s="8">
        <f t="shared" si="10"/>
        <v>96</v>
      </c>
      <c r="F34" s="8">
        <f t="shared" si="10"/>
        <v>99</v>
      </c>
      <c r="G34" s="8">
        <f t="shared" si="10"/>
        <v>87</v>
      </c>
      <c r="H34" s="133">
        <f t="shared" si="10"/>
        <v>95.6</v>
      </c>
      <c r="K34" s="21" t="s">
        <v>12</v>
      </c>
      <c r="L34" s="12">
        <f t="shared" si="7"/>
        <v>100</v>
      </c>
      <c r="M34" s="12">
        <f t="shared" si="7"/>
        <v>100</v>
      </c>
      <c r="N34" s="12">
        <f t="shared" si="7"/>
        <v>95</v>
      </c>
      <c r="O34" s="10">
        <f t="shared" si="7"/>
        <v>98.34</v>
      </c>
      <c r="R34" s="21" t="s">
        <v>12</v>
      </c>
      <c r="S34" s="12">
        <f t="shared" si="8"/>
        <v>70</v>
      </c>
      <c r="T34" s="12">
        <f t="shared" si="8"/>
        <v>76.67</v>
      </c>
      <c r="U34" s="10">
        <f t="shared" si="8"/>
        <v>73.34</v>
      </c>
      <c r="X34" s="21" t="s">
        <v>12</v>
      </c>
      <c r="Y34" s="12">
        <f t="shared" si="9"/>
        <v>100</v>
      </c>
      <c r="Z34" s="12">
        <f t="shared" si="9"/>
        <v>91.67</v>
      </c>
      <c r="AA34" s="10">
        <f t="shared" si="9"/>
        <v>95.84</v>
      </c>
      <c r="AC34" s="25" t="s">
        <v>12</v>
      </c>
      <c r="AD34" s="27">
        <f t="shared" si="11"/>
        <v>95.057391304347831</v>
      </c>
    </row>
    <row r="35" spans="1:30" ht="15.75" thickBot="1" x14ac:dyDescent="0.3">
      <c r="B35" s="22" t="s">
        <v>13</v>
      </c>
      <c r="C35" s="8">
        <f t="shared" si="10"/>
        <v>100</v>
      </c>
      <c r="D35" s="8">
        <f t="shared" si="10"/>
        <v>100</v>
      </c>
      <c r="E35" s="8">
        <f t="shared" si="10"/>
        <v>99</v>
      </c>
      <c r="F35" s="8">
        <f t="shared" si="10"/>
        <v>100</v>
      </c>
      <c r="G35" s="8">
        <f t="shared" si="10"/>
        <v>100</v>
      </c>
      <c r="H35" s="133">
        <f t="shared" si="10"/>
        <v>99.8</v>
      </c>
      <c r="K35" s="22" t="s">
        <v>13</v>
      </c>
      <c r="L35" s="15">
        <f t="shared" si="7"/>
        <v>100</v>
      </c>
      <c r="M35" s="15">
        <f t="shared" si="7"/>
        <v>98</v>
      </c>
      <c r="N35" s="15">
        <f t="shared" si="7"/>
        <v>100</v>
      </c>
      <c r="O35" s="17">
        <f t="shared" si="7"/>
        <v>99.34</v>
      </c>
      <c r="R35" s="22" t="s">
        <v>13</v>
      </c>
      <c r="S35" s="15">
        <f t="shared" si="8"/>
        <v>100</v>
      </c>
      <c r="T35" s="15">
        <f t="shared" si="8"/>
        <v>100</v>
      </c>
      <c r="U35" s="17">
        <f t="shared" si="8"/>
        <v>100</v>
      </c>
      <c r="X35" s="22" t="s">
        <v>13</v>
      </c>
      <c r="Y35" s="15">
        <f t="shared" si="9"/>
        <v>100</v>
      </c>
      <c r="Z35" s="15">
        <f t="shared" si="9"/>
        <v>83.34</v>
      </c>
      <c r="AA35" s="17">
        <f t="shared" si="9"/>
        <v>91.67</v>
      </c>
      <c r="AC35" s="26" t="s">
        <v>13</v>
      </c>
      <c r="AD35" s="28">
        <f t="shared" si="11"/>
        <v>99.132826086956513</v>
      </c>
    </row>
    <row r="36" spans="1:30" x14ac:dyDescent="0.25">
      <c r="B36" s="93" t="s">
        <v>47</v>
      </c>
      <c r="H36" s="94">
        <f>SUM(H31:H35)/5</f>
        <v>87.24</v>
      </c>
      <c r="O36" s="94">
        <f>SUM(O31:O35)/5</f>
        <v>95.40600000000002</v>
      </c>
      <c r="U36" s="94">
        <f>SUM(U31:U35)/5</f>
        <v>78.668000000000006</v>
      </c>
      <c r="AA36" s="94">
        <f>SUM(AA31:AA35)/5</f>
        <v>83.335999999999999</v>
      </c>
    </row>
    <row r="37" spans="1:30" x14ac:dyDescent="0.25">
      <c r="A37" t="s">
        <v>32</v>
      </c>
      <c r="B37">
        <v>20</v>
      </c>
      <c r="K37">
        <v>20</v>
      </c>
      <c r="R37">
        <v>30</v>
      </c>
      <c r="X37">
        <v>30</v>
      </c>
    </row>
    <row r="38" spans="1:30" x14ac:dyDescent="0.25">
      <c r="A38" t="s">
        <v>33</v>
      </c>
      <c r="B38">
        <f>5*5*B37</f>
        <v>500</v>
      </c>
      <c r="K38">
        <f>3*5*K37</f>
        <v>300</v>
      </c>
      <c r="R38">
        <f>2*1*R37</f>
        <v>60</v>
      </c>
      <c r="X38">
        <f>2*1*X37</f>
        <v>60</v>
      </c>
    </row>
    <row r="40" spans="1:30" ht="15.75" thickBot="1" x14ac:dyDescent="0.3">
      <c r="B40" s="29" t="s">
        <v>34</v>
      </c>
      <c r="C40" t="s">
        <v>35</v>
      </c>
      <c r="K40" s="29" t="s">
        <v>34</v>
      </c>
      <c r="L40" t="s">
        <v>35</v>
      </c>
      <c r="R40" s="29" t="s">
        <v>34</v>
      </c>
      <c r="S40" t="s">
        <v>35</v>
      </c>
      <c r="X40" s="29" t="s">
        <v>34</v>
      </c>
      <c r="Y40" t="s">
        <v>35</v>
      </c>
      <c r="AC40" s="29" t="s">
        <v>34</v>
      </c>
      <c r="AD40" t="s">
        <v>35</v>
      </c>
    </row>
    <row r="41" spans="1:30" ht="15.75" thickBot="1" x14ac:dyDescent="0.3">
      <c r="B41" s="2" t="s">
        <v>1</v>
      </c>
      <c r="C41" s="32" t="s">
        <v>2</v>
      </c>
      <c r="D41" s="32" t="s">
        <v>3</v>
      </c>
      <c r="E41" s="32" t="s">
        <v>4</v>
      </c>
      <c r="F41" s="32" t="s">
        <v>5</v>
      </c>
      <c r="G41" s="33" t="s">
        <v>6</v>
      </c>
      <c r="H41" s="1" t="s">
        <v>7</v>
      </c>
      <c r="K41" s="2" t="s">
        <v>1</v>
      </c>
      <c r="L41" s="32" t="s">
        <v>2</v>
      </c>
      <c r="M41" s="32" t="s">
        <v>3</v>
      </c>
      <c r="N41" s="32" t="s">
        <v>4</v>
      </c>
      <c r="O41" s="1" t="s">
        <v>7</v>
      </c>
      <c r="R41" s="2" t="s">
        <v>1</v>
      </c>
      <c r="S41" s="32" t="s">
        <v>2</v>
      </c>
      <c r="T41" s="32" t="s">
        <v>3</v>
      </c>
      <c r="U41" s="1" t="s">
        <v>7</v>
      </c>
      <c r="X41" s="2" t="s">
        <v>1</v>
      </c>
      <c r="Y41" s="3" t="s">
        <v>4</v>
      </c>
      <c r="Z41" s="3" t="s">
        <v>5</v>
      </c>
      <c r="AA41" s="5" t="s">
        <v>7</v>
      </c>
    </row>
    <row r="42" spans="1:30" x14ac:dyDescent="0.25">
      <c r="B42" s="24" t="s">
        <v>9</v>
      </c>
      <c r="C42" s="35">
        <v>59</v>
      </c>
      <c r="D42" s="36">
        <v>73</v>
      </c>
      <c r="E42" s="36">
        <v>75</v>
      </c>
      <c r="F42" s="36">
        <v>70</v>
      </c>
      <c r="G42" s="41">
        <v>70</v>
      </c>
      <c r="H42" s="44">
        <v>72.699999999999989</v>
      </c>
      <c r="K42" s="24" t="s">
        <v>9</v>
      </c>
      <c r="L42" s="35">
        <v>63</v>
      </c>
      <c r="M42" s="36">
        <v>49</v>
      </c>
      <c r="N42" s="41">
        <v>68</v>
      </c>
      <c r="O42" s="44">
        <v>60</v>
      </c>
      <c r="R42" s="24" t="s">
        <v>9</v>
      </c>
      <c r="S42" s="35">
        <v>76.666666666666671</v>
      </c>
      <c r="T42" s="41">
        <v>66.666666666666671</v>
      </c>
      <c r="U42" s="57">
        <v>71.699999999999989</v>
      </c>
      <c r="X42" s="20" t="s">
        <v>9</v>
      </c>
      <c r="Y42" s="7">
        <v>53.333333333333336</v>
      </c>
      <c r="Z42" s="7">
        <v>83.333333333333329</v>
      </c>
      <c r="AA42" s="9">
        <v>68.399999999999991</v>
      </c>
    </row>
    <row r="43" spans="1:30" x14ac:dyDescent="0.25">
      <c r="B43" s="24" t="s">
        <v>10</v>
      </c>
      <c r="C43" s="38">
        <v>99</v>
      </c>
      <c r="D43" s="34">
        <v>100</v>
      </c>
      <c r="E43" s="34">
        <v>100</v>
      </c>
      <c r="F43" s="34">
        <v>96</v>
      </c>
      <c r="G43" s="42">
        <v>100</v>
      </c>
      <c r="H43" s="45">
        <v>99</v>
      </c>
      <c r="K43" s="24" t="s">
        <v>10</v>
      </c>
      <c r="L43" s="38">
        <v>99</v>
      </c>
      <c r="M43" s="34">
        <v>100</v>
      </c>
      <c r="N43" s="42">
        <v>95</v>
      </c>
      <c r="O43" s="45">
        <v>98</v>
      </c>
      <c r="R43" s="24" t="s">
        <v>10</v>
      </c>
      <c r="S43" s="38">
        <v>100</v>
      </c>
      <c r="T43" s="42">
        <v>93.333333333333329</v>
      </c>
      <c r="U43" s="58">
        <v>96.699999999999989</v>
      </c>
      <c r="X43" s="20" t="s">
        <v>10</v>
      </c>
      <c r="Y43" s="7">
        <v>100</v>
      </c>
      <c r="Z43" s="7">
        <v>93.333333333333329</v>
      </c>
      <c r="AA43" s="10">
        <v>96.699999999999989</v>
      </c>
    </row>
    <row r="44" spans="1:30" x14ac:dyDescent="0.25">
      <c r="B44" s="24" t="s">
        <v>11</v>
      </c>
      <c r="C44" s="38">
        <v>0</v>
      </c>
      <c r="D44" s="34">
        <v>0</v>
      </c>
      <c r="E44" s="34">
        <v>0</v>
      </c>
      <c r="F44" s="34">
        <v>0</v>
      </c>
      <c r="G44" s="42">
        <v>0</v>
      </c>
      <c r="H44" s="45">
        <v>0</v>
      </c>
      <c r="K44" s="24" t="s">
        <v>11</v>
      </c>
      <c r="L44" s="38">
        <v>17</v>
      </c>
      <c r="M44" s="34">
        <v>64</v>
      </c>
      <c r="N44" s="42">
        <v>22</v>
      </c>
      <c r="O44" s="45">
        <v>34.4</v>
      </c>
      <c r="R44" s="24" t="s">
        <v>11</v>
      </c>
      <c r="S44" s="38">
        <v>6.666666666666667</v>
      </c>
      <c r="T44" s="42">
        <v>60</v>
      </c>
      <c r="U44" s="58">
        <v>33.4</v>
      </c>
      <c r="X44" s="20" t="s">
        <v>11</v>
      </c>
      <c r="Y44" s="7">
        <v>16.666666666666668</v>
      </c>
      <c r="Z44" s="7">
        <v>56.666666666666664</v>
      </c>
      <c r="AA44" s="10">
        <v>36.700000000000003</v>
      </c>
    </row>
    <row r="45" spans="1:30" x14ac:dyDescent="0.25">
      <c r="B45" s="25" t="s">
        <v>12</v>
      </c>
      <c r="C45" s="38">
        <v>68</v>
      </c>
      <c r="D45" s="34">
        <v>97</v>
      </c>
      <c r="E45" s="34">
        <v>75</v>
      </c>
      <c r="F45" s="34">
        <v>84</v>
      </c>
      <c r="G45" s="42">
        <v>77</v>
      </c>
      <c r="H45" s="45">
        <v>83</v>
      </c>
      <c r="K45" s="25" t="s">
        <v>12</v>
      </c>
      <c r="L45" s="38">
        <v>50</v>
      </c>
      <c r="M45" s="34">
        <v>65</v>
      </c>
      <c r="N45" s="42">
        <v>88</v>
      </c>
      <c r="O45" s="45">
        <v>67.699999999999989</v>
      </c>
      <c r="R45" s="25" t="s">
        <v>12</v>
      </c>
      <c r="S45" s="38">
        <v>66.666666666666671</v>
      </c>
      <c r="T45" s="42">
        <v>76.666666666666671</v>
      </c>
      <c r="U45" s="58">
        <v>71.699999999999989</v>
      </c>
      <c r="X45" s="21" t="s">
        <v>12</v>
      </c>
      <c r="Y45" s="12">
        <v>86.666666666666671</v>
      </c>
      <c r="Z45" s="12">
        <v>73.333333333333329</v>
      </c>
      <c r="AA45" s="10">
        <v>80</v>
      </c>
    </row>
    <row r="46" spans="1:30" ht="15.75" thickBot="1" x14ac:dyDescent="0.3">
      <c r="B46" s="26" t="s">
        <v>13</v>
      </c>
      <c r="C46" s="39">
        <v>100</v>
      </c>
      <c r="D46" s="40">
        <v>100</v>
      </c>
      <c r="E46" s="40">
        <v>99</v>
      </c>
      <c r="F46" s="40">
        <v>96</v>
      </c>
      <c r="G46" s="43">
        <v>100</v>
      </c>
      <c r="H46" s="46">
        <v>99.199999999999989</v>
      </c>
      <c r="K46" s="26" t="s">
        <v>13</v>
      </c>
      <c r="L46" s="39">
        <v>100</v>
      </c>
      <c r="M46" s="40">
        <v>95</v>
      </c>
      <c r="N46" s="43">
        <v>99</v>
      </c>
      <c r="O46" s="46">
        <v>98</v>
      </c>
      <c r="R46" s="26" t="s">
        <v>13</v>
      </c>
      <c r="S46" s="39">
        <v>100</v>
      </c>
      <c r="T46" s="43">
        <v>93.333333333333329</v>
      </c>
      <c r="U46" s="59">
        <v>96.699999999999989</v>
      </c>
      <c r="X46" s="22" t="s">
        <v>13</v>
      </c>
      <c r="Y46" s="15">
        <v>100</v>
      </c>
      <c r="Z46" s="15">
        <v>90</v>
      </c>
      <c r="AA46" s="17">
        <v>95</v>
      </c>
    </row>
    <row r="47" spans="1:30" x14ac:dyDescent="0.25">
      <c r="H47" s="48"/>
      <c r="O47" s="48"/>
    </row>
    <row r="48" spans="1:30" ht="15.75" thickBot="1" x14ac:dyDescent="0.3">
      <c r="B48" s="29" t="s">
        <v>36</v>
      </c>
      <c r="C48" t="s">
        <v>37</v>
      </c>
      <c r="H48" s="48"/>
      <c r="K48" s="29" t="s">
        <v>36</v>
      </c>
      <c r="L48" t="s">
        <v>37</v>
      </c>
      <c r="O48" s="48"/>
      <c r="R48" s="29" t="s">
        <v>36</v>
      </c>
      <c r="S48" t="s">
        <v>37</v>
      </c>
      <c r="X48" s="29" t="s">
        <v>36</v>
      </c>
      <c r="Y48" t="s">
        <v>37</v>
      </c>
    </row>
    <row r="49" spans="2:27" ht="15.75" thickBot="1" x14ac:dyDescent="0.3">
      <c r="B49" s="47" t="s">
        <v>1</v>
      </c>
      <c r="C49" s="32" t="s">
        <v>2</v>
      </c>
      <c r="D49" s="32" t="s">
        <v>3</v>
      </c>
      <c r="E49" s="32" t="s">
        <v>4</v>
      </c>
      <c r="F49" s="32" t="s">
        <v>5</v>
      </c>
      <c r="G49" s="33" t="s">
        <v>6</v>
      </c>
      <c r="H49" s="1" t="s">
        <v>7</v>
      </c>
      <c r="K49" s="2" t="s">
        <v>1</v>
      </c>
      <c r="L49" s="3" t="s">
        <v>2</v>
      </c>
      <c r="M49" s="3" t="s">
        <v>3</v>
      </c>
      <c r="N49" s="53" t="s">
        <v>4</v>
      </c>
      <c r="O49" s="5" t="s">
        <v>7</v>
      </c>
      <c r="R49" s="2" t="s">
        <v>1</v>
      </c>
      <c r="S49" s="32" t="s">
        <v>2</v>
      </c>
      <c r="T49" s="32" t="s">
        <v>3</v>
      </c>
      <c r="U49" s="1" t="s">
        <v>7</v>
      </c>
      <c r="X49" s="2" t="s">
        <v>1</v>
      </c>
      <c r="Y49" s="3" t="s">
        <v>4</v>
      </c>
      <c r="Z49" s="3" t="s">
        <v>5</v>
      </c>
      <c r="AA49" s="5" t="s">
        <v>7</v>
      </c>
    </row>
    <row r="50" spans="2:27" x14ac:dyDescent="0.25">
      <c r="B50" s="21" t="s">
        <v>9</v>
      </c>
      <c r="C50" s="34">
        <v>65</v>
      </c>
      <c r="D50" s="34">
        <v>73</v>
      </c>
      <c r="E50" s="34">
        <v>82</v>
      </c>
      <c r="F50" s="34">
        <v>71</v>
      </c>
      <c r="G50" s="42">
        <v>73</v>
      </c>
      <c r="H50" s="45">
        <v>75.699999999999989</v>
      </c>
      <c r="K50" s="24" t="s">
        <v>9</v>
      </c>
      <c r="L50" s="51">
        <v>85</v>
      </c>
      <c r="M50" s="51">
        <v>85</v>
      </c>
      <c r="N50" s="52">
        <v>77</v>
      </c>
      <c r="O50" s="10">
        <v>82.399999999999991</v>
      </c>
      <c r="R50" s="24" t="s">
        <v>9</v>
      </c>
      <c r="S50" s="35">
        <v>80</v>
      </c>
      <c r="T50" s="41">
        <v>90</v>
      </c>
      <c r="U50" s="57">
        <v>85</v>
      </c>
      <c r="X50" s="20" t="s">
        <v>9</v>
      </c>
      <c r="Y50" s="7">
        <v>56.666666666666664</v>
      </c>
      <c r="Z50" s="7">
        <v>83.333333333333329</v>
      </c>
      <c r="AA50" s="9">
        <v>70</v>
      </c>
    </row>
    <row r="51" spans="2:27" x14ac:dyDescent="0.25">
      <c r="B51" s="21" t="s">
        <v>10</v>
      </c>
      <c r="C51" s="34">
        <v>99</v>
      </c>
      <c r="D51" s="34">
        <v>100</v>
      </c>
      <c r="E51" s="34">
        <v>100</v>
      </c>
      <c r="F51" s="34">
        <v>96</v>
      </c>
      <c r="G51" s="42">
        <v>100</v>
      </c>
      <c r="H51" s="45">
        <v>99</v>
      </c>
      <c r="K51" s="24" t="s">
        <v>10</v>
      </c>
      <c r="L51" s="34">
        <v>99</v>
      </c>
      <c r="M51" s="34">
        <v>100</v>
      </c>
      <c r="N51" s="27">
        <v>98</v>
      </c>
      <c r="O51" s="30">
        <v>99</v>
      </c>
      <c r="R51" s="24" t="s">
        <v>10</v>
      </c>
      <c r="S51" s="38">
        <v>100</v>
      </c>
      <c r="T51" s="42">
        <v>100</v>
      </c>
      <c r="U51" s="58">
        <v>100</v>
      </c>
      <c r="X51" s="20" t="s">
        <v>10</v>
      </c>
      <c r="Y51" s="7">
        <v>100</v>
      </c>
      <c r="Z51" s="7">
        <v>100</v>
      </c>
      <c r="AA51" s="10">
        <v>100</v>
      </c>
    </row>
    <row r="52" spans="2:27" x14ac:dyDescent="0.25">
      <c r="B52" s="21" t="s">
        <v>11</v>
      </c>
      <c r="C52" s="34">
        <v>40</v>
      </c>
      <c r="D52" s="34">
        <v>7</v>
      </c>
      <c r="E52" s="34">
        <v>34</v>
      </c>
      <c r="F52" s="34">
        <v>68</v>
      </c>
      <c r="G52" s="42">
        <v>36</v>
      </c>
      <c r="H52" s="45">
        <v>38.4</v>
      </c>
      <c r="K52" s="24" t="s">
        <v>11</v>
      </c>
      <c r="L52" s="34">
        <v>72</v>
      </c>
      <c r="M52" s="34">
        <v>90</v>
      </c>
      <c r="N52" s="27">
        <v>67</v>
      </c>
      <c r="O52" s="30">
        <v>76.399999999999991</v>
      </c>
      <c r="R52" s="24" t="s">
        <v>11</v>
      </c>
      <c r="S52" s="38">
        <v>10</v>
      </c>
      <c r="T52" s="42">
        <v>60</v>
      </c>
      <c r="U52" s="58">
        <v>35</v>
      </c>
      <c r="X52" s="20" t="s">
        <v>11</v>
      </c>
      <c r="Y52" s="7">
        <v>23.333333333333332</v>
      </c>
      <c r="Z52" s="7">
        <v>66.666666666666671</v>
      </c>
      <c r="AA52" s="10">
        <v>45</v>
      </c>
    </row>
    <row r="53" spans="2:27" x14ac:dyDescent="0.25">
      <c r="B53" s="21" t="s">
        <v>12</v>
      </c>
      <c r="C53" s="34">
        <v>89</v>
      </c>
      <c r="D53" s="34">
        <v>98</v>
      </c>
      <c r="E53" s="34">
        <v>87</v>
      </c>
      <c r="F53" s="34">
        <v>95</v>
      </c>
      <c r="G53" s="42">
        <v>84</v>
      </c>
      <c r="H53" s="45">
        <v>92.199999999999989</v>
      </c>
      <c r="K53" s="25" t="s">
        <v>12</v>
      </c>
      <c r="L53" s="34">
        <v>89</v>
      </c>
      <c r="M53" s="34">
        <v>99</v>
      </c>
      <c r="N53" s="27">
        <v>95</v>
      </c>
      <c r="O53" s="30">
        <v>94.399999999999991</v>
      </c>
      <c r="R53" s="25" t="s">
        <v>12</v>
      </c>
      <c r="S53" s="38">
        <v>70</v>
      </c>
      <c r="T53" s="42">
        <v>76.666666666666671</v>
      </c>
      <c r="U53" s="58">
        <v>73.399999999999991</v>
      </c>
      <c r="X53" s="21" t="s">
        <v>12</v>
      </c>
      <c r="Y53" s="12">
        <v>90</v>
      </c>
      <c r="Z53" s="12">
        <v>76.666666666666671</v>
      </c>
      <c r="AA53" s="10">
        <v>83.399999999999991</v>
      </c>
    </row>
    <row r="54" spans="2:27" ht="15.75" thickBot="1" x14ac:dyDescent="0.3">
      <c r="B54" s="22" t="s">
        <v>13</v>
      </c>
      <c r="C54" s="40">
        <v>100</v>
      </c>
      <c r="D54" s="40">
        <v>100</v>
      </c>
      <c r="E54" s="40">
        <v>99</v>
      </c>
      <c r="F54" s="40">
        <v>96</v>
      </c>
      <c r="G54" s="43">
        <v>100</v>
      </c>
      <c r="H54" s="46">
        <v>99.199999999999989</v>
      </c>
      <c r="K54" s="26" t="s">
        <v>13</v>
      </c>
      <c r="L54" s="40">
        <v>100</v>
      </c>
      <c r="M54" s="40">
        <v>97</v>
      </c>
      <c r="N54" s="28">
        <v>100</v>
      </c>
      <c r="O54" s="31">
        <v>99</v>
      </c>
      <c r="R54" s="26" t="s">
        <v>13</v>
      </c>
      <c r="S54" s="39">
        <v>100</v>
      </c>
      <c r="T54" s="43">
        <v>100</v>
      </c>
      <c r="U54" s="59">
        <v>100</v>
      </c>
      <c r="X54" s="22" t="s">
        <v>13</v>
      </c>
      <c r="Y54" s="15">
        <v>100</v>
      </c>
      <c r="Z54" s="15">
        <v>90</v>
      </c>
      <c r="AA54" s="17">
        <v>95</v>
      </c>
    </row>
    <row r="55" spans="2:27" x14ac:dyDescent="0.25">
      <c r="H55" s="48"/>
      <c r="O55" s="48"/>
    </row>
    <row r="56" spans="2:27" ht="15.75" thickBot="1" x14ac:dyDescent="0.3">
      <c r="B56" s="29" t="s">
        <v>38</v>
      </c>
      <c r="C56" t="s">
        <v>39</v>
      </c>
      <c r="H56" s="48"/>
      <c r="K56" s="29" t="s">
        <v>38</v>
      </c>
      <c r="L56" t="s">
        <v>39</v>
      </c>
      <c r="O56" s="48"/>
      <c r="R56" s="29" t="s">
        <v>38</v>
      </c>
      <c r="S56" t="s">
        <v>39</v>
      </c>
      <c r="X56" s="29" t="s">
        <v>38</v>
      </c>
      <c r="Y56" t="s">
        <v>39</v>
      </c>
    </row>
    <row r="57" spans="2:27" ht="15.75" thickBot="1" x14ac:dyDescent="0.3">
      <c r="B57" s="2" t="s">
        <v>1</v>
      </c>
      <c r="C57" s="32" t="s">
        <v>2</v>
      </c>
      <c r="D57" s="32" t="s">
        <v>3</v>
      </c>
      <c r="E57" s="32" t="s">
        <v>4</v>
      </c>
      <c r="F57" s="32" t="s">
        <v>5</v>
      </c>
      <c r="G57" s="33" t="s">
        <v>6</v>
      </c>
      <c r="H57" s="1" t="s">
        <v>7</v>
      </c>
      <c r="K57" s="2" t="s">
        <v>1</v>
      </c>
      <c r="L57" s="32" t="s">
        <v>2</v>
      </c>
      <c r="M57" s="32" t="s">
        <v>3</v>
      </c>
      <c r="N57" s="32" t="s">
        <v>4</v>
      </c>
      <c r="O57" s="1" t="s">
        <v>7</v>
      </c>
      <c r="R57" s="2" t="s">
        <v>1</v>
      </c>
      <c r="S57" s="32" t="s">
        <v>2</v>
      </c>
      <c r="T57" s="32" t="s">
        <v>3</v>
      </c>
      <c r="U57" s="1" t="s">
        <v>7</v>
      </c>
      <c r="X57" s="2" t="s">
        <v>1</v>
      </c>
      <c r="Y57" s="3" t="s">
        <v>4</v>
      </c>
      <c r="Z57" s="3" t="s">
        <v>5</v>
      </c>
      <c r="AA57" s="5" t="s">
        <v>7</v>
      </c>
    </row>
    <row r="58" spans="2:27" x14ac:dyDescent="0.25">
      <c r="B58" s="24" t="s">
        <v>9</v>
      </c>
      <c r="C58" s="34">
        <v>76</v>
      </c>
      <c r="D58" s="34">
        <v>73</v>
      </c>
      <c r="E58" s="34">
        <v>85</v>
      </c>
      <c r="F58" s="34">
        <v>74</v>
      </c>
      <c r="G58" s="42">
        <v>77</v>
      </c>
      <c r="H58" s="45">
        <v>80</v>
      </c>
      <c r="K58" s="24" t="s">
        <v>9</v>
      </c>
      <c r="L58" s="35">
        <v>85</v>
      </c>
      <c r="M58" s="36">
        <v>86</v>
      </c>
      <c r="N58" s="37">
        <v>83</v>
      </c>
      <c r="O58" s="54">
        <v>84.699999999999989</v>
      </c>
      <c r="R58" s="24" t="s">
        <v>9</v>
      </c>
      <c r="S58" s="35">
        <v>80</v>
      </c>
      <c r="T58" s="41">
        <v>90</v>
      </c>
      <c r="U58" s="57">
        <v>85</v>
      </c>
      <c r="X58" s="20" t="s">
        <v>9</v>
      </c>
      <c r="Y58" s="7">
        <v>56.666666666666664</v>
      </c>
      <c r="Z58" s="7">
        <v>83.333333333333329</v>
      </c>
      <c r="AA58" s="9">
        <v>70</v>
      </c>
    </row>
    <row r="59" spans="2:27" x14ac:dyDescent="0.25">
      <c r="B59" s="24" t="s">
        <v>10</v>
      </c>
      <c r="C59" s="34">
        <v>99</v>
      </c>
      <c r="D59" s="34">
        <v>100</v>
      </c>
      <c r="E59" s="34">
        <v>100</v>
      </c>
      <c r="F59" s="34">
        <v>100</v>
      </c>
      <c r="G59" s="42">
        <v>100</v>
      </c>
      <c r="H59" s="45">
        <v>99.699999999999989</v>
      </c>
      <c r="K59" s="24" t="s">
        <v>10</v>
      </c>
      <c r="L59" s="38">
        <v>99</v>
      </c>
      <c r="M59" s="34">
        <v>100</v>
      </c>
      <c r="N59" s="27">
        <v>99</v>
      </c>
      <c r="O59" s="55">
        <v>99.399999999999991</v>
      </c>
      <c r="R59" s="24" t="s">
        <v>10</v>
      </c>
      <c r="S59" s="38">
        <v>100</v>
      </c>
      <c r="T59" s="42">
        <v>100</v>
      </c>
      <c r="U59" s="58">
        <v>100</v>
      </c>
      <c r="X59" s="20" t="s">
        <v>10</v>
      </c>
      <c r="Y59" s="7">
        <v>100</v>
      </c>
      <c r="Z59" s="7">
        <v>100</v>
      </c>
      <c r="AA59" s="10">
        <v>100</v>
      </c>
    </row>
    <row r="60" spans="2:27" x14ac:dyDescent="0.25">
      <c r="B60" s="24" t="s">
        <v>11</v>
      </c>
      <c r="C60" s="34">
        <v>60</v>
      </c>
      <c r="D60" s="34">
        <v>19</v>
      </c>
      <c r="E60" s="34">
        <v>51</v>
      </c>
      <c r="F60" s="34">
        <v>81</v>
      </c>
      <c r="G60" s="42">
        <v>51</v>
      </c>
      <c r="H60" s="45">
        <v>52</v>
      </c>
      <c r="K60" s="24" t="s">
        <v>11</v>
      </c>
      <c r="L60" s="38">
        <v>99</v>
      </c>
      <c r="M60" s="34">
        <v>94</v>
      </c>
      <c r="N60" s="27">
        <v>86</v>
      </c>
      <c r="O60" s="55">
        <v>93</v>
      </c>
      <c r="R60" s="24" t="s">
        <v>11</v>
      </c>
      <c r="S60" s="38">
        <v>10</v>
      </c>
      <c r="T60" s="42">
        <v>60</v>
      </c>
      <c r="U60" s="58">
        <v>35</v>
      </c>
      <c r="X60" s="20" t="s">
        <v>11</v>
      </c>
      <c r="Y60" s="7">
        <v>23.333333333333332</v>
      </c>
      <c r="Z60" s="7">
        <v>73.333333333333329</v>
      </c>
      <c r="AA60" s="10">
        <v>48.4</v>
      </c>
    </row>
    <row r="61" spans="2:27" x14ac:dyDescent="0.25">
      <c r="B61" s="25" t="s">
        <v>12</v>
      </c>
      <c r="C61" s="34">
        <v>95</v>
      </c>
      <c r="D61" s="34">
        <v>99</v>
      </c>
      <c r="E61" s="34">
        <v>96</v>
      </c>
      <c r="F61" s="34">
        <v>99</v>
      </c>
      <c r="G61" s="42">
        <v>87</v>
      </c>
      <c r="H61" s="45">
        <v>96</v>
      </c>
      <c r="K61" s="25" t="s">
        <v>12</v>
      </c>
      <c r="L61" s="38">
        <v>100</v>
      </c>
      <c r="M61" s="34">
        <v>100</v>
      </c>
      <c r="N61" s="27">
        <v>95</v>
      </c>
      <c r="O61" s="55">
        <v>98.399999999999991</v>
      </c>
      <c r="R61" s="25" t="s">
        <v>12</v>
      </c>
      <c r="S61" s="38">
        <v>70</v>
      </c>
      <c r="T61" s="42">
        <v>76.666666666666671</v>
      </c>
      <c r="U61" s="58">
        <v>73.399999999999991</v>
      </c>
      <c r="X61" s="21" t="s">
        <v>12</v>
      </c>
      <c r="Y61" s="12">
        <v>90</v>
      </c>
      <c r="Z61" s="12">
        <v>80</v>
      </c>
      <c r="AA61" s="10">
        <v>85</v>
      </c>
    </row>
    <row r="62" spans="2:27" ht="15.75" thickBot="1" x14ac:dyDescent="0.3">
      <c r="B62" s="26" t="s">
        <v>13</v>
      </c>
      <c r="C62" s="40">
        <v>100</v>
      </c>
      <c r="D62" s="40">
        <v>100</v>
      </c>
      <c r="E62" s="40">
        <v>99</v>
      </c>
      <c r="F62" s="40">
        <v>99</v>
      </c>
      <c r="G62" s="43">
        <v>100</v>
      </c>
      <c r="H62" s="46">
        <v>99.699999999999989</v>
      </c>
      <c r="K62" s="26" t="s">
        <v>13</v>
      </c>
      <c r="L62" s="39">
        <v>100</v>
      </c>
      <c r="M62" s="40">
        <v>97</v>
      </c>
      <c r="N62" s="28">
        <v>100</v>
      </c>
      <c r="O62" s="56">
        <v>99</v>
      </c>
      <c r="R62" s="26" t="s">
        <v>13</v>
      </c>
      <c r="S62" s="39">
        <v>100</v>
      </c>
      <c r="T62" s="43">
        <v>100</v>
      </c>
      <c r="U62" s="59">
        <v>100</v>
      </c>
      <c r="X62" s="22" t="s">
        <v>13</v>
      </c>
      <c r="Y62" s="15">
        <v>100</v>
      </c>
      <c r="Z62" s="15">
        <v>90</v>
      </c>
      <c r="AA62" s="17">
        <v>95</v>
      </c>
    </row>
    <row r="63" spans="2:27" x14ac:dyDescent="0.25">
      <c r="H63" s="48"/>
      <c r="O63" s="48"/>
    </row>
    <row r="64" spans="2:27" ht="15.75" thickBot="1" x14ac:dyDescent="0.3">
      <c r="B64" s="29" t="s">
        <v>40</v>
      </c>
      <c r="C64" t="s">
        <v>42</v>
      </c>
      <c r="H64" s="48"/>
      <c r="K64" s="29" t="s">
        <v>40</v>
      </c>
      <c r="L64" t="s">
        <v>42</v>
      </c>
      <c r="O64" s="48"/>
      <c r="R64" s="29" t="s">
        <v>40</v>
      </c>
      <c r="S64" t="s">
        <v>42</v>
      </c>
      <c r="X64" s="29" t="s">
        <v>40</v>
      </c>
      <c r="Y64" t="s">
        <v>42</v>
      </c>
    </row>
    <row r="65" spans="2:28" ht="15.75" thickBot="1" x14ac:dyDescent="0.3">
      <c r="B65" s="2" t="s">
        <v>1</v>
      </c>
      <c r="C65" s="32" t="s">
        <v>2</v>
      </c>
      <c r="D65" s="32" t="s">
        <v>3</v>
      </c>
      <c r="E65" s="32" t="s">
        <v>4</v>
      </c>
      <c r="F65" s="32" t="s">
        <v>5</v>
      </c>
      <c r="G65" s="33" t="s">
        <v>6</v>
      </c>
      <c r="H65" s="1" t="s">
        <v>7</v>
      </c>
      <c r="K65" s="63" t="s">
        <v>1</v>
      </c>
      <c r="L65" s="2" t="s">
        <v>2</v>
      </c>
      <c r="M65" s="3" t="s">
        <v>3</v>
      </c>
      <c r="N65" s="3" t="s">
        <v>4</v>
      </c>
      <c r="O65" s="5" t="s">
        <v>7</v>
      </c>
      <c r="R65" s="2" t="s">
        <v>1</v>
      </c>
      <c r="S65" s="32" t="s">
        <v>2</v>
      </c>
      <c r="T65" s="32" t="s">
        <v>3</v>
      </c>
      <c r="U65" s="1" t="s">
        <v>7</v>
      </c>
      <c r="X65" s="2" t="s">
        <v>1</v>
      </c>
      <c r="Y65" s="3" t="s">
        <v>4</v>
      </c>
      <c r="Z65" s="3" t="s">
        <v>5</v>
      </c>
      <c r="AA65" s="5" t="s">
        <v>7</v>
      </c>
    </row>
    <row r="66" spans="2:28" x14ac:dyDescent="0.25">
      <c r="B66" s="24" t="s">
        <v>9</v>
      </c>
      <c r="C66" s="34">
        <v>77</v>
      </c>
      <c r="D66" s="34">
        <v>73</v>
      </c>
      <c r="E66" s="34">
        <v>85</v>
      </c>
      <c r="F66" s="34">
        <v>74</v>
      </c>
      <c r="G66" s="42">
        <v>77</v>
      </c>
      <c r="H66" s="45">
        <v>80.199999999999989</v>
      </c>
      <c r="K66" s="24" t="s">
        <v>9</v>
      </c>
      <c r="L66" s="64">
        <v>85</v>
      </c>
      <c r="M66" s="51">
        <v>86</v>
      </c>
      <c r="N66" s="51">
        <v>83</v>
      </c>
      <c r="O66" s="60">
        <v>84.699999999999989</v>
      </c>
      <c r="R66" s="24" t="s">
        <v>9</v>
      </c>
      <c r="S66" s="35">
        <v>80</v>
      </c>
      <c r="T66" s="41">
        <v>90</v>
      </c>
      <c r="U66" s="57">
        <v>85</v>
      </c>
      <c r="X66" s="20" t="s">
        <v>9</v>
      </c>
      <c r="Y66" s="7">
        <v>56.666666666666664</v>
      </c>
      <c r="Z66" s="7">
        <v>86.666666666666671</v>
      </c>
      <c r="AA66" s="9">
        <v>71.699999999999989</v>
      </c>
    </row>
    <row r="67" spans="2:28" x14ac:dyDescent="0.25">
      <c r="B67" s="24" t="s">
        <v>10</v>
      </c>
      <c r="C67" s="34">
        <v>99</v>
      </c>
      <c r="D67" s="34">
        <v>100</v>
      </c>
      <c r="E67" s="34">
        <v>100</v>
      </c>
      <c r="F67" s="34">
        <v>100</v>
      </c>
      <c r="G67" s="42">
        <v>100</v>
      </c>
      <c r="H67" s="45">
        <v>99.699999999999989</v>
      </c>
      <c r="K67" s="24" t="s">
        <v>10</v>
      </c>
      <c r="L67" s="38">
        <v>99</v>
      </c>
      <c r="M67" s="34">
        <v>100</v>
      </c>
      <c r="N67" s="34">
        <v>99</v>
      </c>
      <c r="O67" s="61">
        <v>99.399999999999991</v>
      </c>
      <c r="R67" s="24" t="s">
        <v>10</v>
      </c>
      <c r="S67" s="38">
        <v>100</v>
      </c>
      <c r="T67" s="42">
        <v>100</v>
      </c>
      <c r="U67" s="58">
        <v>100</v>
      </c>
      <c r="X67" s="20" t="s">
        <v>10</v>
      </c>
      <c r="Y67" s="7">
        <v>100</v>
      </c>
      <c r="Z67" s="7">
        <v>100</v>
      </c>
      <c r="AA67" s="10">
        <v>100</v>
      </c>
    </row>
    <row r="68" spans="2:28" x14ac:dyDescent="0.25">
      <c r="B68" s="24" t="s">
        <v>11</v>
      </c>
      <c r="C68" s="34">
        <v>75</v>
      </c>
      <c r="D68" s="34">
        <v>21</v>
      </c>
      <c r="E68" s="34">
        <v>72</v>
      </c>
      <c r="F68" s="34">
        <v>85</v>
      </c>
      <c r="G68" s="42">
        <v>68</v>
      </c>
      <c r="H68" s="45">
        <v>64</v>
      </c>
      <c r="K68" s="24" t="s">
        <v>11</v>
      </c>
      <c r="L68" s="38">
        <v>99</v>
      </c>
      <c r="M68" s="34">
        <v>94</v>
      </c>
      <c r="N68" s="34">
        <v>93</v>
      </c>
      <c r="O68" s="61">
        <v>95.399999999999991</v>
      </c>
      <c r="R68" s="24" t="s">
        <v>11</v>
      </c>
      <c r="S68" s="38">
        <v>10</v>
      </c>
      <c r="T68" s="42">
        <v>60</v>
      </c>
      <c r="U68" s="58">
        <v>35</v>
      </c>
      <c r="X68" s="20" t="s">
        <v>11</v>
      </c>
      <c r="Y68" s="7">
        <v>23.333333333333332</v>
      </c>
      <c r="Z68" s="7">
        <v>73.333333333333329</v>
      </c>
      <c r="AA68" s="10">
        <v>48.4</v>
      </c>
    </row>
    <row r="69" spans="2:28" x14ac:dyDescent="0.25">
      <c r="B69" s="25" t="s">
        <v>12</v>
      </c>
      <c r="C69" s="34">
        <v>97</v>
      </c>
      <c r="D69" s="34">
        <v>99</v>
      </c>
      <c r="E69" s="34">
        <v>96</v>
      </c>
      <c r="F69" s="34">
        <v>99</v>
      </c>
      <c r="G69" s="42">
        <v>87</v>
      </c>
      <c r="H69" s="45">
        <v>96.399999999999991</v>
      </c>
      <c r="K69" s="25" t="s">
        <v>12</v>
      </c>
      <c r="L69" s="38">
        <v>100</v>
      </c>
      <c r="M69" s="34">
        <v>100</v>
      </c>
      <c r="N69" s="34">
        <v>95</v>
      </c>
      <c r="O69" s="61">
        <v>98.399999999999991</v>
      </c>
      <c r="R69" s="25" t="s">
        <v>12</v>
      </c>
      <c r="S69" s="38">
        <v>70</v>
      </c>
      <c r="T69" s="42">
        <v>76.666666666666671</v>
      </c>
      <c r="U69" s="58">
        <v>73.399999999999991</v>
      </c>
      <c r="X69" s="21" t="s">
        <v>12</v>
      </c>
      <c r="Y69" s="12">
        <v>90</v>
      </c>
      <c r="Z69" s="12">
        <v>80</v>
      </c>
      <c r="AA69" s="10">
        <v>85</v>
      </c>
    </row>
    <row r="70" spans="2:28" ht="15.75" thickBot="1" x14ac:dyDescent="0.3">
      <c r="B70" s="26" t="s">
        <v>13</v>
      </c>
      <c r="C70" s="40">
        <v>100</v>
      </c>
      <c r="D70" s="40">
        <v>100</v>
      </c>
      <c r="E70" s="40">
        <v>99</v>
      </c>
      <c r="F70" s="40">
        <v>100</v>
      </c>
      <c r="G70" s="43">
        <v>100</v>
      </c>
      <c r="H70" s="46">
        <v>99.899999999999991</v>
      </c>
      <c r="K70" s="26" t="s">
        <v>13</v>
      </c>
      <c r="L70" s="39">
        <v>100</v>
      </c>
      <c r="M70" s="40">
        <v>98</v>
      </c>
      <c r="N70" s="40">
        <v>100</v>
      </c>
      <c r="O70" s="62">
        <v>99.399999999999991</v>
      </c>
      <c r="R70" s="26" t="s">
        <v>13</v>
      </c>
      <c r="S70" s="39">
        <v>100</v>
      </c>
      <c r="T70" s="43">
        <v>100</v>
      </c>
      <c r="U70" s="59">
        <v>100</v>
      </c>
      <c r="X70" s="22" t="s">
        <v>13</v>
      </c>
      <c r="Y70" s="15">
        <v>100</v>
      </c>
      <c r="Z70" s="15">
        <v>90</v>
      </c>
      <c r="AA70" s="17">
        <v>95</v>
      </c>
    </row>
    <row r="71" spans="2:28" x14ac:dyDescent="0.25">
      <c r="H71" s="48"/>
    </row>
    <row r="73" spans="2:28" ht="15.75" thickBot="1" x14ac:dyDescent="0.3"/>
    <row r="74" spans="2:28" ht="15.75" thickBot="1" x14ac:dyDescent="0.3">
      <c r="B74" s="63" t="s">
        <v>1</v>
      </c>
      <c r="C74" s="63" t="s">
        <v>43</v>
      </c>
      <c r="D74" s="65" t="s">
        <v>44</v>
      </c>
      <c r="E74" s="92" t="s">
        <v>45</v>
      </c>
      <c r="F74" s="5" t="s">
        <v>46</v>
      </c>
      <c r="G74" t="s">
        <v>48</v>
      </c>
      <c r="K74" s="5" t="s">
        <v>1</v>
      </c>
      <c r="L74" s="79" t="s">
        <v>43</v>
      </c>
      <c r="M74" s="63" t="s">
        <v>44</v>
      </c>
      <c r="N74" s="63" t="s">
        <v>45</v>
      </c>
      <c r="O74" s="5" t="s">
        <v>46</v>
      </c>
      <c r="P74" t="s">
        <v>48</v>
      </c>
      <c r="R74" s="5" t="s">
        <v>1</v>
      </c>
      <c r="S74" s="88" t="s">
        <v>43</v>
      </c>
      <c r="T74" s="65" t="s">
        <v>44</v>
      </c>
      <c r="U74" s="65" t="s">
        <v>45</v>
      </c>
      <c r="V74" s="1" t="s">
        <v>46</v>
      </c>
      <c r="X74" s="5" t="s">
        <v>1</v>
      </c>
      <c r="Y74" s="88" t="s">
        <v>43</v>
      </c>
      <c r="Z74" s="65" t="s">
        <v>44</v>
      </c>
      <c r="AA74" s="65" t="s">
        <v>45</v>
      </c>
      <c r="AB74" s="1" t="s">
        <v>46</v>
      </c>
    </row>
    <row r="75" spans="2:28" x14ac:dyDescent="0.25">
      <c r="B75" s="24" t="s">
        <v>9</v>
      </c>
      <c r="C75" s="66">
        <v>72.699999999999989</v>
      </c>
      <c r="D75" s="67">
        <f>H50-H42</f>
        <v>3</v>
      </c>
      <c r="E75" s="68">
        <f>H58-H50</f>
        <v>4.3000000000000114</v>
      </c>
      <c r="F75" s="69">
        <f>H66-H58</f>
        <v>0.19999999999998863</v>
      </c>
      <c r="G75">
        <f>C75+D75+E75+F75</f>
        <v>80.199999999999989</v>
      </c>
      <c r="K75" s="82" t="s">
        <v>9</v>
      </c>
      <c r="L75" s="80">
        <v>60</v>
      </c>
      <c r="M75" s="78">
        <f>O50-O42</f>
        <v>22.399999999999991</v>
      </c>
      <c r="N75" s="78">
        <f>O58-O50</f>
        <v>2.2999999999999972</v>
      </c>
      <c r="O75" s="78">
        <f>O66-O58</f>
        <v>0</v>
      </c>
      <c r="P75">
        <f>L75+M75+N75+O75</f>
        <v>84.699999999999989</v>
      </c>
      <c r="R75" s="82" t="s">
        <v>9</v>
      </c>
      <c r="S75" s="85">
        <v>71.699999999999989</v>
      </c>
      <c r="T75" s="36">
        <f>U50-U42</f>
        <v>13.300000000000011</v>
      </c>
      <c r="U75" s="36">
        <f>U58-U50</f>
        <v>0</v>
      </c>
      <c r="V75" s="37">
        <f>U66-U58</f>
        <v>0</v>
      </c>
      <c r="X75" s="24" t="s">
        <v>9</v>
      </c>
      <c r="Y75" s="89">
        <v>68.399999999999991</v>
      </c>
      <c r="Z75" s="36">
        <f>AA50-AA42</f>
        <v>1.6000000000000085</v>
      </c>
      <c r="AA75" s="36">
        <f>AA58-AA50</f>
        <v>0</v>
      </c>
      <c r="AB75" s="37">
        <f>AA66-AA58</f>
        <v>1.6999999999999886</v>
      </c>
    </row>
    <row r="76" spans="2:28" x14ac:dyDescent="0.25">
      <c r="B76" s="24" t="s">
        <v>10</v>
      </c>
      <c r="C76" s="70">
        <v>99</v>
      </c>
      <c r="D76" s="71">
        <f t="shared" ref="D76:D79" si="12">H51-H43</f>
        <v>0</v>
      </c>
      <c r="E76" s="72">
        <f t="shared" ref="E76:E79" si="13">H59-H51</f>
        <v>0.69999999999998863</v>
      </c>
      <c r="F76" s="73">
        <f t="shared" ref="F76:F79" si="14">H67-H59</f>
        <v>0</v>
      </c>
      <c r="G76">
        <f t="shared" ref="G76:G79" si="15">C76+D76+E76+F76</f>
        <v>99.699999999999989</v>
      </c>
      <c r="K76" s="82" t="s">
        <v>10</v>
      </c>
      <c r="L76" s="81">
        <v>98</v>
      </c>
      <c r="M76" s="72">
        <f t="shared" ref="M76:M79" si="16">O51-O43</f>
        <v>1</v>
      </c>
      <c r="N76" s="72">
        <f t="shared" ref="N76:N79" si="17">O59-O51</f>
        <v>0.39999999999999147</v>
      </c>
      <c r="O76" s="72">
        <f t="shared" ref="O76:O79" si="18">O67-O59</f>
        <v>0</v>
      </c>
      <c r="P76">
        <f t="shared" ref="P76:P79" si="19">L76+M76+N76+O76</f>
        <v>99.399999999999991</v>
      </c>
      <c r="R76" s="82" t="s">
        <v>10</v>
      </c>
      <c r="S76" s="86">
        <v>96.699999999999989</v>
      </c>
      <c r="T76" s="34">
        <f t="shared" ref="T76:T79" si="20">U51-U43</f>
        <v>3.3000000000000114</v>
      </c>
      <c r="U76" s="34">
        <f t="shared" ref="U76:U79" si="21">U59-U51</f>
        <v>0</v>
      </c>
      <c r="V76" s="27">
        <f t="shared" ref="V76:V79" si="22">U67-U59</f>
        <v>0</v>
      </c>
      <c r="X76" s="24" t="s">
        <v>10</v>
      </c>
      <c r="Y76" s="90">
        <v>96.699999999999989</v>
      </c>
      <c r="Z76" s="34">
        <f t="shared" ref="Z76:Z79" si="23">AA51-AA43</f>
        <v>3.3000000000000114</v>
      </c>
      <c r="AA76" s="34">
        <f t="shared" ref="AA76:AA79" si="24">AA59-AA51</f>
        <v>0</v>
      </c>
      <c r="AB76" s="27">
        <f t="shared" ref="AB76:AB79" si="25">AA67-AA59</f>
        <v>0</v>
      </c>
    </row>
    <row r="77" spans="2:28" x14ac:dyDescent="0.25">
      <c r="B77" s="24" t="s">
        <v>11</v>
      </c>
      <c r="C77" s="70">
        <v>0</v>
      </c>
      <c r="D77" s="71">
        <f t="shared" si="12"/>
        <v>38.4</v>
      </c>
      <c r="E77" s="72">
        <f t="shared" si="13"/>
        <v>13.600000000000001</v>
      </c>
      <c r="F77" s="73">
        <f t="shared" si="14"/>
        <v>12</v>
      </c>
      <c r="G77">
        <f t="shared" si="15"/>
        <v>64</v>
      </c>
      <c r="K77" s="82" t="s">
        <v>11</v>
      </c>
      <c r="L77" s="81">
        <v>34.4</v>
      </c>
      <c r="M77" s="72">
        <f t="shared" si="16"/>
        <v>41.999999999999993</v>
      </c>
      <c r="N77" s="72">
        <f t="shared" si="17"/>
        <v>16.600000000000009</v>
      </c>
      <c r="O77" s="72">
        <f t="shared" si="18"/>
        <v>2.3999999999999915</v>
      </c>
      <c r="P77">
        <f t="shared" si="19"/>
        <v>95.399999999999991</v>
      </c>
      <c r="R77" s="82" t="s">
        <v>11</v>
      </c>
      <c r="S77" s="86">
        <v>33.4</v>
      </c>
      <c r="T77" s="34">
        <f t="shared" si="20"/>
        <v>1.6000000000000014</v>
      </c>
      <c r="U77" s="34">
        <f t="shared" si="21"/>
        <v>0</v>
      </c>
      <c r="V77" s="27">
        <f t="shared" si="22"/>
        <v>0</v>
      </c>
      <c r="X77" s="24" t="s">
        <v>11</v>
      </c>
      <c r="Y77" s="90">
        <v>36.700000000000003</v>
      </c>
      <c r="Z77" s="34">
        <f t="shared" si="23"/>
        <v>8.2999999999999972</v>
      </c>
      <c r="AA77" s="34">
        <f t="shared" si="24"/>
        <v>3.3999999999999986</v>
      </c>
      <c r="AB77" s="27">
        <f t="shared" si="25"/>
        <v>0</v>
      </c>
    </row>
    <row r="78" spans="2:28" x14ac:dyDescent="0.25">
      <c r="B78" s="25" t="s">
        <v>12</v>
      </c>
      <c r="C78" s="70">
        <v>83</v>
      </c>
      <c r="D78" s="71">
        <f t="shared" si="12"/>
        <v>9.1999999999999886</v>
      </c>
      <c r="E78" s="72">
        <f t="shared" si="13"/>
        <v>3.8000000000000114</v>
      </c>
      <c r="F78" s="73">
        <f t="shared" si="14"/>
        <v>0.39999999999999147</v>
      </c>
      <c r="G78">
        <f t="shared" si="15"/>
        <v>96.399999999999991</v>
      </c>
      <c r="K78" s="83" t="s">
        <v>12</v>
      </c>
      <c r="L78" s="81">
        <v>67.699999999999989</v>
      </c>
      <c r="M78" s="72">
        <f t="shared" si="16"/>
        <v>26.700000000000003</v>
      </c>
      <c r="N78" s="72">
        <f t="shared" si="17"/>
        <v>4</v>
      </c>
      <c r="O78" s="72">
        <f t="shared" si="18"/>
        <v>0</v>
      </c>
      <c r="P78">
        <f t="shared" si="19"/>
        <v>98.399999999999991</v>
      </c>
      <c r="R78" s="83" t="s">
        <v>12</v>
      </c>
      <c r="S78" s="86">
        <v>71.699999999999989</v>
      </c>
      <c r="T78" s="34">
        <f t="shared" si="20"/>
        <v>1.7000000000000028</v>
      </c>
      <c r="U78" s="34">
        <f t="shared" si="21"/>
        <v>0</v>
      </c>
      <c r="V78" s="27">
        <f t="shared" si="22"/>
        <v>0</v>
      </c>
      <c r="X78" s="25" t="s">
        <v>12</v>
      </c>
      <c r="Y78" s="90">
        <v>80</v>
      </c>
      <c r="Z78" s="34">
        <f t="shared" si="23"/>
        <v>3.3999999999999915</v>
      </c>
      <c r="AA78" s="34">
        <f t="shared" si="24"/>
        <v>1.6000000000000085</v>
      </c>
      <c r="AB78" s="27">
        <f t="shared" si="25"/>
        <v>0</v>
      </c>
    </row>
    <row r="79" spans="2:28" ht="15.75" thickBot="1" x14ac:dyDescent="0.3">
      <c r="B79" s="26" t="s">
        <v>13</v>
      </c>
      <c r="C79" s="74">
        <v>99.199999999999989</v>
      </c>
      <c r="D79" s="75">
        <f t="shared" si="12"/>
        <v>0</v>
      </c>
      <c r="E79" s="76">
        <f t="shared" si="13"/>
        <v>0.5</v>
      </c>
      <c r="F79" s="77">
        <f t="shared" si="14"/>
        <v>0.20000000000000284</v>
      </c>
      <c r="G79">
        <f t="shared" si="15"/>
        <v>99.899999999999991</v>
      </c>
      <c r="K79" s="84" t="s">
        <v>13</v>
      </c>
      <c r="L79" s="81">
        <v>98</v>
      </c>
      <c r="M79" s="72">
        <f t="shared" si="16"/>
        <v>1</v>
      </c>
      <c r="N79" s="72">
        <f t="shared" si="17"/>
        <v>0</v>
      </c>
      <c r="O79" s="72">
        <f t="shared" si="18"/>
        <v>0.39999999999999147</v>
      </c>
      <c r="P79">
        <f t="shared" si="19"/>
        <v>99.399999999999991</v>
      </c>
      <c r="R79" s="84" t="s">
        <v>13</v>
      </c>
      <c r="S79" s="87">
        <v>96.699999999999989</v>
      </c>
      <c r="T79" s="40">
        <f t="shared" si="20"/>
        <v>3.3000000000000114</v>
      </c>
      <c r="U79" s="40">
        <f t="shared" si="21"/>
        <v>0</v>
      </c>
      <c r="V79" s="28">
        <f t="shared" si="22"/>
        <v>0</v>
      </c>
      <c r="X79" s="26" t="s">
        <v>13</v>
      </c>
      <c r="Y79" s="91">
        <v>95</v>
      </c>
      <c r="Z79" s="40">
        <f t="shared" si="23"/>
        <v>0</v>
      </c>
      <c r="AA79" s="40">
        <f t="shared" si="24"/>
        <v>0</v>
      </c>
      <c r="AB79" s="28">
        <f t="shared" si="25"/>
        <v>0</v>
      </c>
    </row>
    <row r="80" spans="2:28" x14ac:dyDescent="0.25">
      <c r="C80" t="s">
        <v>49</v>
      </c>
      <c r="D80" s="95">
        <f>SUM(D75:F79)</f>
        <v>86.299999999999983</v>
      </c>
      <c r="L80" t="s">
        <v>49</v>
      </c>
      <c r="M80" s="96">
        <f>SUM(M75:O79)</f>
        <v>119.19999999999996</v>
      </c>
      <c r="S80" t="s">
        <v>49</v>
      </c>
      <c r="T80" s="97">
        <f>SUM(T75:V79)</f>
        <v>23.200000000000038</v>
      </c>
      <c r="Y80" t="s">
        <v>49</v>
      </c>
      <c r="Z80" s="97">
        <f>SUM(Z75:AB79)</f>
        <v>23.300000000000004</v>
      </c>
    </row>
    <row r="81" spans="3:28" x14ac:dyDescent="0.25">
      <c r="C81" t="s">
        <v>50</v>
      </c>
      <c r="D81" s="95">
        <f>ROUNDUP(100*SUM(D75:D79)/$D$80,2)</f>
        <v>58.64</v>
      </c>
      <c r="E81" s="95">
        <f>ROUNDUP(100*SUM(E75:E79)/$D$80,2)</f>
        <v>26.540000000000003</v>
      </c>
      <c r="F81" s="95">
        <f>ROUNDUP(100*SUM(F75:F79)/$D$80,2)</f>
        <v>14.84</v>
      </c>
      <c r="L81" t="s">
        <v>51</v>
      </c>
      <c r="M81" s="95">
        <f>ROUNDUP(100*SUM(M75:M79)/$M$80,2)</f>
        <v>78.11</v>
      </c>
      <c r="N81" s="95">
        <f>ROUNDUP(100*SUM(N75:N79)/$M$80,2)</f>
        <v>19.55</v>
      </c>
      <c r="O81" s="95">
        <f>ROUNDUP(100*SUM(O75:O79)/$M$80,2)</f>
        <v>2.3499999999999996</v>
      </c>
      <c r="S81" t="s">
        <v>51</v>
      </c>
      <c r="T81" s="95">
        <f>ROUNDUP(100*SUM(T75:T79)/$T$80,2)</f>
        <v>100</v>
      </c>
      <c r="U81" s="95">
        <f>ROUNDUP(100*SUM(U75:U79)/$T$80,2)</f>
        <v>0</v>
      </c>
      <c r="V81" s="95">
        <f>ROUNDUP(100*SUM(V75:V79)/$T$80,2)</f>
        <v>0</v>
      </c>
      <c r="Y81" t="s">
        <v>51</v>
      </c>
      <c r="Z81" s="95">
        <f>ROUNDUP(100*SUM(Z75:Z79)/$Z$80,2)</f>
        <v>71.25</v>
      </c>
      <c r="AA81" s="95">
        <f>ROUNDUP(100*SUM(AA75:AA79)/$Z$80,2)</f>
        <v>21.46</v>
      </c>
      <c r="AB81" s="95">
        <f>ROUNDUP(100*SUM(AB75:AB79)/$Z$80,2)</f>
        <v>7.3</v>
      </c>
    </row>
  </sheetData>
  <mergeCells count="24">
    <mergeCell ref="J18:J22"/>
    <mergeCell ref="J23:J27"/>
    <mergeCell ref="A23:A27"/>
    <mergeCell ref="B1:H1"/>
    <mergeCell ref="A3:A7"/>
    <mergeCell ref="A8:A12"/>
    <mergeCell ref="A13:A17"/>
    <mergeCell ref="A18:A22"/>
    <mergeCell ref="K1:O1"/>
    <mergeCell ref="R1:U1"/>
    <mergeCell ref="J3:J7"/>
    <mergeCell ref="J8:J12"/>
    <mergeCell ref="J13:J17"/>
    <mergeCell ref="W23:W27"/>
    <mergeCell ref="X1:AA1"/>
    <mergeCell ref="Q3:Q7"/>
    <mergeCell ref="Q8:Q12"/>
    <mergeCell ref="Q13:Q17"/>
    <mergeCell ref="Q18:Q22"/>
    <mergeCell ref="W3:W7"/>
    <mergeCell ref="W8:W12"/>
    <mergeCell ref="W13:W17"/>
    <mergeCell ref="W18:W22"/>
    <mergeCell ref="Q23:Q27"/>
  </mergeCells>
  <hyperlinks>
    <hyperlink ref="D74" r:id="rId1" display="gain@1" xr:uid="{1AE5D214-4C7A-440F-B0C2-556508345707}"/>
    <hyperlink ref="E74" r:id="rId2" display="gain@2" xr:uid="{CB3CA7C1-3DFC-4217-9268-A994AA791DE5}"/>
    <hyperlink ref="F74" r:id="rId3" display="gain@3" xr:uid="{53E651D7-1D6D-4D5F-AFB7-A2BD3436538F}"/>
    <hyperlink ref="M74" r:id="rId4" display="gain@1" xr:uid="{8DD3D6D8-C964-4E11-AE86-F8AEB3168273}"/>
    <hyperlink ref="N74" r:id="rId5" display="gain@2" xr:uid="{F5FD061F-2717-4FCD-9D3C-B5E0AA0D76D9}"/>
    <hyperlink ref="O74" r:id="rId6" display="gain@3" xr:uid="{7FACAA88-FA19-49E7-BD65-9CB24B59840F}"/>
    <hyperlink ref="T74" r:id="rId7" display="gain@1" xr:uid="{C8C2FC34-FD71-42B9-B7C7-46C37448E49E}"/>
    <hyperlink ref="U74" r:id="rId8" display="gain@2" xr:uid="{D6A87D3A-FBFD-431E-91EE-ADCBEE24CE00}"/>
    <hyperlink ref="V74" r:id="rId9" display="gain@3" xr:uid="{F08FF5B3-91E2-4EAD-B61E-D0703CEE480A}"/>
    <hyperlink ref="Z74" r:id="rId10" display="gain@1" xr:uid="{EF2FA1EF-B4DB-47C9-B1A9-56361D103881}"/>
    <hyperlink ref="AA74" r:id="rId11" display="gain@2" xr:uid="{C290221C-61CA-4BC3-8B84-45CDBF917F40}"/>
    <hyperlink ref="AB74" r:id="rId12" display="gain@3" xr:uid="{83ABA99D-0CE4-4468-A4A5-70EC2F06D262}"/>
  </hyperlinks>
  <pageMargins left="0.7" right="0.7" top="0.75" bottom="0.75" header="0.3" footer="0.3"/>
  <pageSetup paperSize="9" orientation="portrait" r:id="rId13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F1D16-E392-471A-837C-145A179293A6}">
  <dimension ref="B2:AB33"/>
  <sheetViews>
    <sheetView workbookViewId="0">
      <selection activeCell="I6" sqref="I6"/>
    </sheetView>
  </sheetViews>
  <sheetFormatPr baseColWidth="10" defaultRowHeight="15" x14ac:dyDescent="0.25"/>
  <cols>
    <col min="4" max="4" width="13.42578125" customWidth="1"/>
    <col min="5" max="5" width="17.28515625" customWidth="1"/>
    <col min="6" max="6" width="16.85546875" customWidth="1"/>
  </cols>
  <sheetData>
    <row r="2" spans="2:27" x14ac:dyDescent="0.25">
      <c r="B2" t="s">
        <v>1</v>
      </c>
      <c r="C2" t="s">
        <v>7</v>
      </c>
      <c r="D2" t="s">
        <v>56</v>
      </c>
      <c r="E2" t="s">
        <v>67</v>
      </c>
      <c r="F2" t="s">
        <v>68</v>
      </c>
    </row>
    <row r="3" spans="2:27" x14ac:dyDescent="0.25">
      <c r="B3" t="s">
        <v>9</v>
      </c>
      <c r="C3">
        <v>81.47</v>
      </c>
      <c r="D3">
        <f>COUNTIF(C15:G15,100)+COUNTIF(L15:N15,100)+COUNTIF(S15:T15,100)+COUNTIF(Y15:Z15,100)</f>
        <v>0</v>
      </c>
      <c r="E3">
        <f>(SUM(D23:F23)+SUM(M23:O23)+SUM(T23:V23)+SUM(Z23:AB23))/4</f>
        <v>12.2</v>
      </c>
      <c r="F3">
        <v>-46.5</v>
      </c>
    </row>
    <row r="4" spans="2:27" x14ac:dyDescent="0.25">
      <c r="B4" t="s">
        <v>10</v>
      </c>
      <c r="C4">
        <v>99.61</v>
      </c>
      <c r="D4">
        <f t="shared" ref="D4:D7" si="0">COUNTIF(C16:G16,100)+COUNTIF(L16:N16,100)+COUNTIF(S16:T16,100)+COUNTIF(Y16:Z16,100)</f>
        <v>8</v>
      </c>
      <c r="E4">
        <f t="shared" ref="E4:E7" si="1">(SUM(D24:F24)+SUM(M24:O24)+SUM(T24:V24)+SUM(Z24:AB24))/4</f>
        <v>2.1750000000000007</v>
      </c>
      <c r="F4">
        <v>-1.0833333333333321</v>
      </c>
    </row>
    <row r="5" spans="2:27" x14ac:dyDescent="0.25">
      <c r="B5" t="s">
        <v>11</v>
      </c>
      <c r="C5">
        <v>70.73</v>
      </c>
      <c r="D5">
        <f t="shared" si="0"/>
        <v>0</v>
      </c>
      <c r="E5">
        <f t="shared" si="1"/>
        <v>34.574999999999996</v>
      </c>
      <c r="F5">
        <v>-26.999583333333334</v>
      </c>
    </row>
    <row r="6" spans="2:27" x14ac:dyDescent="0.25">
      <c r="B6" t="s">
        <v>12</v>
      </c>
      <c r="C6">
        <v>95.54</v>
      </c>
      <c r="D6">
        <f t="shared" si="0"/>
        <v>3</v>
      </c>
      <c r="E6">
        <f t="shared" si="1"/>
        <v>12.7</v>
      </c>
      <c r="F6">
        <v>-12.41625</v>
      </c>
    </row>
    <row r="7" spans="2:27" x14ac:dyDescent="0.25">
      <c r="B7" t="s">
        <v>13</v>
      </c>
      <c r="C7">
        <v>99.22</v>
      </c>
      <c r="D7">
        <f t="shared" si="0"/>
        <v>9</v>
      </c>
      <c r="E7">
        <f t="shared" si="1"/>
        <v>1.3500000000000014</v>
      </c>
      <c r="F7">
        <v>2.082499999999996</v>
      </c>
    </row>
    <row r="12" spans="2:27" x14ac:dyDescent="0.25">
      <c r="B12" t="s">
        <v>52</v>
      </c>
      <c r="K12" t="s">
        <v>53</v>
      </c>
      <c r="R12" t="s">
        <v>54</v>
      </c>
      <c r="X12" t="s">
        <v>55</v>
      </c>
    </row>
    <row r="13" spans="2:27" x14ac:dyDescent="0.25">
      <c r="B13" t="s">
        <v>41</v>
      </c>
      <c r="K13" t="s">
        <v>41</v>
      </c>
      <c r="R13" t="s">
        <v>41</v>
      </c>
      <c r="X13" t="s">
        <v>41</v>
      </c>
    </row>
    <row r="14" spans="2:27" x14ac:dyDescent="0.25"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K14" t="s">
        <v>1</v>
      </c>
      <c r="L14" t="s">
        <v>2</v>
      </c>
      <c r="M14" t="s">
        <v>3</v>
      </c>
      <c r="N14" t="s">
        <v>4</v>
      </c>
      <c r="O14" t="s">
        <v>7</v>
      </c>
      <c r="R14" t="s">
        <v>1</v>
      </c>
      <c r="S14" t="s">
        <v>2</v>
      </c>
      <c r="T14" t="s">
        <v>3</v>
      </c>
      <c r="U14" t="s">
        <v>7</v>
      </c>
      <c r="X14" t="s">
        <v>1</v>
      </c>
      <c r="Y14" t="s">
        <v>4</v>
      </c>
      <c r="Z14" t="s">
        <v>5</v>
      </c>
      <c r="AA14" t="s">
        <v>7</v>
      </c>
    </row>
    <row r="15" spans="2:27" x14ac:dyDescent="0.25">
      <c r="B15" t="s">
        <v>9</v>
      </c>
      <c r="C15">
        <v>80</v>
      </c>
      <c r="D15">
        <v>74.17</v>
      </c>
      <c r="E15">
        <v>87.5</v>
      </c>
      <c r="F15">
        <v>78.34</v>
      </c>
      <c r="G15">
        <v>80.84</v>
      </c>
      <c r="H15">
        <v>80.17</v>
      </c>
      <c r="K15" t="s">
        <v>9</v>
      </c>
      <c r="L15">
        <v>85</v>
      </c>
      <c r="M15">
        <v>86</v>
      </c>
      <c r="N15">
        <v>83</v>
      </c>
      <c r="O15">
        <v>84.67</v>
      </c>
      <c r="R15" t="s">
        <v>9</v>
      </c>
      <c r="S15">
        <v>80</v>
      </c>
      <c r="T15">
        <v>90</v>
      </c>
      <c r="U15">
        <v>85</v>
      </c>
      <c r="X15" t="s">
        <v>9</v>
      </c>
      <c r="Y15">
        <v>58.33</v>
      </c>
      <c r="Z15">
        <v>91.67</v>
      </c>
      <c r="AA15">
        <v>75</v>
      </c>
    </row>
    <row r="16" spans="2:27" x14ac:dyDescent="0.25">
      <c r="B16" t="s">
        <v>10</v>
      </c>
      <c r="C16">
        <v>99.17</v>
      </c>
      <c r="D16">
        <v>100</v>
      </c>
      <c r="E16">
        <v>100</v>
      </c>
      <c r="F16">
        <v>100</v>
      </c>
      <c r="G16">
        <v>99.17</v>
      </c>
      <c r="H16">
        <v>99.67</v>
      </c>
      <c r="K16" t="s">
        <v>10</v>
      </c>
      <c r="L16">
        <v>99</v>
      </c>
      <c r="M16">
        <v>100</v>
      </c>
      <c r="N16">
        <v>99</v>
      </c>
      <c r="O16">
        <v>99.34</v>
      </c>
      <c r="R16" t="s">
        <v>10</v>
      </c>
      <c r="S16">
        <v>100</v>
      </c>
      <c r="T16">
        <v>100</v>
      </c>
      <c r="U16">
        <v>100</v>
      </c>
      <c r="X16" t="s">
        <v>10</v>
      </c>
      <c r="Y16">
        <v>100</v>
      </c>
      <c r="Z16">
        <v>100</v>
      </c>
      <c r="AA16">
        <v>100</v>
      </c>
    </row>
    <row r="17" spans="2:28" x14ac:dyDescent="0.25">
      <c r="B17" t="s">
        <v>11</v>
      </c>
      <c r="C17">
        <v>75.84</v>
      </c>
      <c r="D17">
        <v>25.84</v>
      </c>
      <c r="E17">
        <v>66.67</v>
      </c>
      <c r="F17">
        <v>85</v>
      </c>
      <c r="G17">
        <v>65</v>
      </c>
      <c r="H17">
        <v>63.669999999999995</v>
      </c>
      <c r="K17" t="s">
        <v>11</v>
      </c>
      <c r="L17">
        <v>99</v>
      </c>
      <c r="M17">
        <v>94</v>
      </c>
      <c r="N17">
        <v>93</v>
      </c>
      <c r="O17">
        <v>95.34</v>
      </c>
      <c r="R17" t="s">
        <v>11</v>
      </c>
      <c r="S17">
        <v>10</v>
      </c>
      <c r="T17">
        <v>60</v>
      </c>
      <c r="U17">
        <v>35</v>
      </c>
      <c r="X17" t="s">
        <v>11</v>
      </c>
      <c r="Y17">
        <v>41.67</v>
      </c>
      <c r="Z17">
        <v>66.67</v>
      </c>
      <c r="AA17">
        <v>54.169999999999995</v>
      </c>
    </row>
    <row r="18" spans="2:28" x14ac:dyDescent="0.25">
      <c r="B18" t="s">
        <v>12</v>
      </c>
      <c r="C18">
        <v>97.5</v>
      </c>
      <c r="D18">
        <v>99.17</v>
      </c>
      <c r="E18">
        <v>96.67</v>
      </c>
      <c r="F18">
        <v>99.17</v>
      </c>
      <c r="G18">
        <v>89.17</v>
      </c>
      <c r="H18">
        <v>96.34</v>
      </c>
      <c r="K18" t="s">
        <v>12</v>
      </c>
      <c r="L18">
        <v>100</v>
      </c>
      <c r="M18">
        <v>100</v>
      </c>
      <c r="N18">
        <v>95</v>
      </c>
      <c r="O18">
        <v>98.34</v>
      </c>
      <c r="R18" t="s">
        <v>12</v>
      </c>
      <c r="S18">
        <v>70</v>
      </c>
      <c r="T18">
        <v>76.67</v>
      </c>
      <c r="U18">
        <v>73.34</v>
      </c>
      <c r="X18" t="s">
        <v>12</v>
      </c>
      <c r="Y18">
        <v>100</v>
      </c>
      <c r="Z18">
        <v>91.67</v>
      </c>
      <c r="AA18">
        <v>95.84</v>
      </c>
    </row>
    <row r="19" spans="2:28" x14ac:dyDescent="0.25">
      <c r="B19" t="s">
        <v>13</v>
      </c>
      <c r="C19">
        <v>100</v>
      </c>
      <c r="D19">
        <v>100</v>
      </c>
      <c r="E19">
        <v>99.17</v>
      </c>
      <c r="F19">
        <v>100</v>
      </c>
      <c r="G19">
        <v>100</v>
      </c>
      <c r="H19">
        <v>99.84</v>
      </c>
      <c r="K19" t="s">
        <v>13</v>
      </c>
      <c r="L19">
        <v>100</v>
      </c>
      <c r="M19">
        <v>98</v>
      </c>
      <c r="N19">
        <v>100</v>
      </c>
      <c r="O19">
        <v>99.34</v>
      </c>
      <c r="R19" t="s">
        <v>13</v>
      </c>
      <c r="S19">
        <v>100</v>
      </c>
      <c r="T19">
        <v>100</v>
      </c>
      <c r="U19">
        <v>100</v>
      </c>
      <c r="X19" t="s">
        <v>13</v>
      </c>
      <c r="Y19">
        <v>100</v>
      </c>
      <c r="Z19">
        <v>83.34</v>
      </c>
      <c r="AA19">
        <v>91.67</v>
      </c>
    </row>
    <row r="20" spans="2:28" x14ac:dyDescent="0.25">
      <c r="B20" t="s">
        <v>47</v>
      </c>
      <c r="H20">
        <v>87.938000000000017</v>
      </c>
      <c r="O20">
        <v>95.40600000000002</v>
      </c>
      <c r="U20">
        <v>78.668000000000006</v>
      </c>
      <c r="AA20">
        <v>83.335999999999999</v>
      </c>
    </row>
    <row r="22" spans="2:28" x14ac:dyDescent="0.25">
      <c r="B22" t="s">
        <v>1</v>
      </c>
      <c r="C22" t="s">
        <v>43</v>
      </c>
      <c r="D22" t="s">
        <v>44</v>
      </c>
      <c r="E22" t="s">
        <v>45</v>
      </c>
      <c r="F22" t="s">
        <v>46</v>
      </c>
      <c r="G22" t="s">
        <v>48</v>
      </c>
      <c r="K22" t="s">
        <v>1</v>
      </c>
      <c r="L22" t="s">
        <v>43</v>
      </c>
      <c r="M22" t="s">
        <v>44</v>
      </c>
      <c r="N22" t="s">
        <v>45</v>
      </c>
      <c r="O22" t="s">
        <v>46</v>
      </c>
      <c r="P22" t="s">
        <v>48</v>
      </c>
      <c r="R22" t="s">
        <v>1</v>
      </c>
      <c r="S22" t="s">
        <v>43</v>
      </c>
      <c r="T22" t="s">
        <v>44</v>
      </c>
      <c r="U22" t="s">
        <v>45</v>
      </c>
      <c r="V22" t="s">
        <v>46</v>
      </c>
      <c r="X22" t="s">
        <v>1</v>
      </c>
      <c r="Y22" t="s">
        <v>43</v>
      </c>
      <c r="Z22" t="s">
        <v>44</v>
      </c>
      <c r="AA22" t="s">
        <v>45</v>
      </c>
      <c r="AB22" t="s">
        <v>46</v>
      </c>
    </row>
    <row r="23" spans="2:28" x14ac:dyDescent="0.25">
      <c r="B23" t="s">
        <v>9</v>
      </c>
      <c r="C23">
        <v>72.699999999999989</v>
      </c>
      <c r="D23">
        <v>3</v>
      </c>
      <c r="E23">
        <v>4.3000000000000114</v>
      </c>
      <c r="F23">
        <v>0.19999999999998863</v>
      </c>
      <c r="G23">
        <v>80.199999999999989</v>
      </c>
      <c r="K23" t="s">
        <v>9</v>
      </c>
      <c r="L23">
        <v>60</v>
      </c>
      <c r="M23">
        <v>22.399999999999991</v>
      </c>
      <c r="N23">
        <v>2.2999999999999972</v>
      </c>
      <c r="O23">
        <v>0</v>
      </c>
      <c r="P23">
        <v>84.699999999999989</v>
      </c>
      <c r="R23" t="s">
        <v>9</v>
      </c>
      <c r="S23">
        <v>71.699999999999989</v>
      </c>
      <c r="T23">
        <v>13.300000000000011</v>
      </c>
      <c r="U23">
        <v>0</v>
      </c>
      <c r="V23">
        <v>0</v>
      </c>
      <c r="X23" t="s">
        <v>9</v>
      </c>
      <c r="Y23">
        <v>68.399999999999991</v>
      </c>
      <c r="Z23">
        <v>1.6000000000000085</v>
      </c>
      <c r="AA23">
        <v>0</v>
      </c>
      <c r="AB23">
        <v>1.6999999999999886</v>
      </c>
    </row>
    <row r="24" spans="2:28" x14ac:dyDescent="0.25">
      <c r="B24" t="s">
        <v>10</v>
      </c>
      <c r="C24">
        <v>99</v>
      </c>
      <c r="D24">
        <v>0</v>
      </c>
      <c r="E24">
        <v>0.69999999999998863</v>
      </c>
      <c r="F24">
        <v>0</v>
      </c>
      <c r="G24">
        <v>99.699999999999989</v>
      </c>
      <c r="K24" t="s">
        <v>10</v>
      </c>
      <c r="L24">
        <v>98</v>
      </c>
      <c r="M24">
        <v>1</v>
      </c>
      <c r="N24">
        <v>0.39999999999999147</v>
      </c>
      <c r="O24">
        <v>0</v>
      </c>
      <c r="P24">
        <v>99.399999999999991</v>
      </c>
      <c r="R24" t="s">
        <v>10</v>
      </c>
      <c r="S24">
        <v>96.699999999999989</v>
      </c>
      <c r="T24">
        <v>3.3000000000000114</v>
      </c>
      <c r="U24">
        <v>0</v>
      </c>
      <c r="V24">
        <v>0</v>
      </c>
      <c r="X24" t="s">
        <v>10</v>
      </c>
      <c r="Y24">
        <v>96.699999999999989</v>
      </c>
      <c r="Z24">
        <v>3.3000000000000114</v>
      </c>
      <c r="AA24">
        <v>0</v>
      </c>
      <c r="AB24">
        <v>0</v>
      </c>
    </row>
    <row r="25" spans="2:28" x14ac:dyDescent="0.25">
      <c r="B25" t="s">
        <v>11</v>
      </c>
      <c r="C25">
        <v>0</v>
      </c>
      <c r="D25">
        <v>38.4</v>
      </c>
      <c r="E25">
        <v>13.600000000000001</v>
      </c>
      <c r="F25">
        <v>12</v>
      </c>
      <c r="G25">
        <v>64</v>
      </c>
      <c r="K25" t="s">
        <v>11</v>
      </c>
      <c r="L25">
        <v>34.4</v>
      </c>
      <c r="M25">
        <v>41.999999999999993</v>
      </c>
      <c r="N25">
        <v>16.600000000000009</v>
      </c>
      <c r="O25">
        <v>2.3999999999999915</v>
      </c>
      <c r="P25">
        <v>95.399999999999991</v>
      </c>
      <c r="R25" t="s">
        <v>11</v>
      </c>
      <c r="S25">
        <v>33.4</v>
      </c>
      <c r="T25">
        <v>1.6000000000000014</v>
      </c>
      <c r="U25">
        <v>0</v>
      </c>
      <c r="V25">
        <v>0</v>
      </c>
      <c r="X25" t="s">
        <v>11</v>
      </c>
      <c r="Y25">
        <v>36.700000000000003</v>
      </c>
      <c r="Z25">
        <v>8.2999999999999972</v>
      </c>
      <c r="AA25">
        <v>3.3999999999999986</v>
      </c>
      <c r="AB25">
        <v>0</v>
      </c>
    </row>
    <row r="26" spans="2:28" x14ac:dyDescent="0.25">
      <c r="B26" t="s">
        <v>12</v>
      </c>
      <c r="C26">
        <v>83</v>
      </c>
      <c r="D26">
        <v>9.1999999999999886</v>
      </c>
      <c r="E26">
        <v>3.8000000000000114</v>
      </c>
      <c r="F26">
        <v>0.39999999999999147</v>
      </c>
      <c r="G26">
        <v>96.399999999999991</v>
      </c>
      <c r="K26" t="s">
        <v>12</v>
      </c>
      <c r="L26">
        <v>67.699999999999989</v>
      </c>
      <c r="M26">
        <v>26.700000000000003</v>
      </c>
      <c r="N26">
        <v>4</v>
      </c>
      <c r="O26">
        <v>0</v>
      </c>
      <c r="P26">
        <v>98.399999999999991</v>
      </c>
      <c r="R26" t="s">
        <v>12</v>
      </c>
      <c r="S26">
        <v>71.699999999999989</v>
      </c>
      <c r="T26">
        <v>1.7000000000000028</v>
      </c>
      <c r="U26">
        <v>0</v>
      </c>
      <c r="V26">
        <v>0</v>
      </c>
      <c r="X26" t="s">
        <v>12</v>
      </c>
      <c r="Y26">
        <v>80</v>
      </c>
      <c r="Z26">
        <v>3.3999999999999915</v>
      </c>
      <c r="AA26">
        <v>1.6000000000000085</v>
      </c>
      <c r="AB26">
        <v>0</v>
      </c>
    </row>
    <row r="27" spans="2:28" x14ac:dyDescent="0.25">
      <c r="B27" t="s">
        <v>13</v>
      </c>
      <c r="C27">
        <v>99.199999999999989</v>
      </c>
      <c r="D27">
        <v>0</v>
      </c>
      <c r="E27">
        <v>0.5</v>
      </c>
      <c r="F27">
        <v>0.20000000000000284</v>
      </c>
      <c r="G27">
        <v>99.899999999999991</v>
      </c>
      <c r="K27" t="s">
        <v>13</v>
      </c>
      <c r="L27">
        <v>98</v>
      </c>
      <c r="M27">
        <v>1</v>
      </c>
      <c r="N27">
        <v>0</v>
      </c>
      <c r="O27">
        <v>0.39999999999999147</v>
      </c>
      <c r="P27">
        <v>99.399999999999991</v>
      </c>
      <c r="R27" t="s">
        <v>13</v>
      </c>
      <c r="S27">
        <v>96.699999999999989</v>
      </c>
      <c r="T27">
        <v>3.3000000000000114</v>
      </c>
      <c r="U27">
        <v>0</v>
      </c>
      <c r="V27">
        <v>0</v>
      </c>
      <c r="X27" t="s">
        <v>13</v>
      </c>
      <c r="Y27">
        <v>95</v>
      </c>
      <c r="Z27">
        <v>0</v>
      </c>
      <c r="AA27">
        <v>0</v>
      </c>
      <c r="AB27">
        <v>0</v>
      </c>
    </row>
    <row r="28" spans="2:28" x14ac:dyDescent="0.25">
      <c r="C28" t="s">
        <v>49</v>
      </c>
      <c r="D28">
        <v>86.299999999999983</v>
      </c>
      <c r="L28" t="s">
        <v>49</v>
      </c>
      <c r="M28">
        <v>119.19999999999996</v>
      </c>
      <c r="S28" t="s">
        <v>49</v>
      </c>
      <c r="T28">
        <v>23.200000000000038</v>
      </c>
      <c r="Y28" t="s">
        <v>49</v>
      </c>
      <c r="Z28">
        <v>23.300000000000004</v>
      </c>
    </row>
    <row r="29" spans="2:28" x14ac:dyDescent="0.25">
      <c r="C29" t="s">
        <v>50</v>
      </c>
      <c r="D29">
        <v>58.64</v>
      </c>
      <c r="E29">
        <v>26.540000000000003</v>
      </c>
      <c r="F29">
        <v>14.84</v>
      </c>
      <c r="L29" t="s">
        <v>51</v>
      </c>
      <c r="M29">
        <v>78.11</v>
      </c>
      <c r="N29">
        <v>19.55</v>
      </c>
      <c r="O29">
        <v>2.3499999999999996</v>
      </c>
      <c r="S29" t="s">
        <v>51</v>
      </c>
      <c r="T29">
        <v>100</v>
      </c>
      <c r="U29">
        <v>0</v>
      </c>
      <c r="V29">
        <v>0</v>
      </c>
      <c r="Y29" t="s">
        <v>51</v>
      </c>
      <c r="Z29">
        <v>71.25</v>
      </c>
      <c r="AA29">
        <v>21.46</v>
      </c>
      <c r="AB29">
        <v>7.3</v>
      </c>
    </row>
    <row r="32" spans="2:28" x14ac:dyDescent="0.25">
      <c r="B32">
        <f>8/12</f>
        <v>0.66666666666666663</v>
      </c>
    </row>
    <row r="33" spans="2:2" x14ac:dyDescent="0.25">
      <c r="B33">
        <f>9/12</f>
        <v>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5531A-D4A9-40F1-88BF-8FF995625108}">
  <dimension ref="A1:AE49"/>
  <sheetViews>
    <sheetView zoomScale="90" zoomScaleNormal="90" workbookViewId="0">
      <selection activeCell="K43" sqref="K43"/>
    </sheetView>
  </sheetViews>
  <sheetFormatPr baseColWidth="10" defaultRowHeight="15" x14ac:dyDescent="0.25"/>
  <sheetData>
    <row r="1" spans="1:28" ht="15.75" thickBot="1" x14ac:dyDescent="0.3">
      <c r="B1" s="140" t="s">
        <v>23</v>
      </c>
      <c r="C1" s="140"/>
      <c r="D1" s="140"/>
      <c r="E1" s="140"/>
      <c r="F1" s="140"/>
      <c r="G1" s="140"/>
      <c r="H1" s="140"/>
      <c r="K1" s="141" t="s">
        <v>24</v>
      </c>
      <c r="L1" s="141"/>
      <c r="M1" s="141"/>
      <c r="N1" s="141"/>
      <c r="O1" s="141"/>
      <c r="R1" s="140" t="s">
        <v>30</v>
      </c>
      <c r="S1" s="140"/>
      <c r="T1" s="140"/>
      <c r="U1" s="140"/>
      <c r="V1" s="101"/>
      <c r="Y1" s="140" t="s">
        <v>31</v>
      </c>
      <c r="Z1" s="140"/>
      <c r="AA1" s="140"/>
      <c r="AB1" s="140"/>
    </row>
    <row r="2" spans="1:28" ht="15.75" thickBot="1" x14ac:dyDescent="0.3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J2" s="1" t="s">
        <v>0</v>
      </c>
      <c r="K2" s="2" t="s">
        <v>1</v>
      </c>
      <c r="L2" s="3" t="s">
        <v>2</v>
      </c>
      <c r="M2" s="3" t="s">
        <v>3</v>
      </c>
      <c r="N2" s="3" t="s">
        <v>4</v>
      </c>
      <c r="O2" s="5" t="s">
        <v>7</v>
      </c>
      <c r="Q2" s="1" t="s">
        <v>0</v>
      </c>
      <c r="R2" s="2" t="s">
        <v>1</v>
      </c>
      <c r="S2" s="3" t="s">
        <v>2</v>
      </c>
      <c r="T2" s="3" t="s">
        <v>3</v>
      </c>
      <c r="U2" s="5" t="s">
        <v>7</v>
      </c>
      <c r="V2" s="102"/>
      <c r="X2" s="1" t="s">
        <v>0</v>
      </c>
      <c r="Y2" s="2" t="s">
        <v>1</v>
      </c>
      <c r="Z2" s="3" t="s">
        <v>4</v>
      </c>
      <c r="AA2" s="3" t="s">
        <v>5</v>
      </c>
      <c r="AB2" s="5" t="s">
        <v>7</v>
      </c>
    </row>
    <row r="3" spans="1:28" x14ac:dyDescent="0.25">
      <c r="A3" s="136" t="s">
        <v>8</v>
      </c>
      <c r="B3" s="6" t="s">
        <v>9</v>
      </c>
      <c r="C3" s="7">
        <v>100</v>
      </c>
      <c r="D3" s="7">
        <v>100</v>
      </c>
      <c r="E3" s="7">
        <v>100</v>
      </c>
      <c r="F3" s="7">
        <v>100</v>
      </c>
      <c r="G3" s="8">
        <v>100</v>
      </c>
      <c r="H3" s="9">
        <f>SUM(C3:G3)/5</f>
        <v>100</v>
      </c>
      <c r="J3" s="136" t="s">
        <v>18</v>
      </c>
      <c r="K3" s="20" t="s">
        <v>9</v>
      </c>
      <c r="L3" s="7">
        <v>100</v>
      </c>
      <c r="M3" s="7">
        <v>95</v>
      </c>
      <c r="N3" s="7">
        <v>100</v>
      </c>
      <c r="O3" s="9">
        <f>SUM(L3:N3)/3</f>
        <v>98.333333333333329</v>
      </c>
      <c r="Q3" s="136" t="s">
        <v>25</v>
      </c>
      <c r="R3" s="6" t="s">
        <v>9</v>
      </c>
      <c r="S3" s="7">
        <v>83.33</v>
      </c>
      <c r="T3" s="7">
        <v>83.33</v>
      </c>
      <c r="U3" s="9">
        <f>SUM(S3:T3)/2</f>
        <v>83.33</v>
      </c>
      <c r="V3" s="103"/>
      <c r="X3" s="136" t="s">
        <v>25</v>
      </c>
      <c r="Y3" s="6" t="s">
        <v>9</v>
      </c>
      <c r="Z3" s="7">
        <v>83.33</v>
      </c>
      <c r="AA3" s="7">
        <v>100</v>
      </c>
      <c r="AB3" s="9">
        <f>SUM(Z3:AA3)/2</f>
        <v>91.664999999999992</v>
      </c>
    </row>
    <row r="4" spans="1:28" x14ac:dyDescent="0.25">
      <c r="A4" s="137"/>
      <c r="B4" s="6" t="s">
        <v>10</v>
      </c>
      <c r="C4" s="7">
        <v>100</v>
      </c>
      <c r="D4" s="7">
        <v>100</v>
      </c>
      <c r="E4" s="7">
        <v>100</v>
      </c>
      <c r="F4" s="7">
        <v>100</v>
      </c>
      <c r="G4" s="8">
        <v>100</v>
      </c>
      <c r="H4" s="10">
        <f>SUM(C4:G4)/5</f>
        <v>100</v>
      </c>
      <c r="J4" s="137"/>
      <c r="K4" s="20" t="s">
        <v>10</v>
      </c>
      <c r="L4" s="7">
        <v>100</v>
      </c>
      <c r="M4" s="7">
        <v>100</v>
      </c>
      <c r="N4" s="7">
        <v>100</v>
      </c>
      <c r="O4" s="10">
        <f t="shared" ref="O4:O27" si="0">SUM(L4:N4)/3</f>
        <v>100</v>
      </c>
      <c r="Q4" s="137"/>
      <c r="R4" s="6" t="s">
        <v>10</v>
      </c>
      <c r="S4" s="7">
        <v>100</v>
      </c>
      <c r="T4" s="7">
        <v>100</v>
      </c>
      <c r="U4" s="10">
        <f t="shared" ref="U4:U27" si="1">SUM(S4:T4)/2</f>
        <v>100</v>
      </c>
      <c r="V4" s="103"/>
      <c r="X4" s="137"/>
      <c r="Y4" s="6" t="s">
        <v>10</v>
      </c>
      <c r="Z4" s="7">
        <v>100</v>
      </c>
      <c r="AA4" s="7">
        <v>100</v>
      </c>
      <c r="AB4" s="10">
        <f t="shared" ref="AB4:AB27" si="2">SUM(Z4:AA4)/2</f>
        <v>100</v>
      </c>
    </row>
    <row r="5" spans="1:28" x14ac:dyDescent="0.25">
      <c r="A5" s="137"/>
      <c r="B5" s="6" t="s">
        <v>11</v>
      </c>
      <c r="C5" s="7">
        <v>100</v>
      </c>
      <c r="D5" s="7">
        <v>75</v>
      </c>
      <c r="E5" s="7">
        <v>70</v>
      </c>
      <c r="F5" s="7">
        <v>100</v>
      </c>
      <c r="G5" s="8">
        <v>60</v>
      </c>
      <c r="H5" s="10">
        <f t="shared" ref="H5:H7" si="3">SUM(C5:G5)/5</f>
        <v>81</v>
      </c>
      <c r="J5" s="137"/>
      <c r="K5" s="20" t="s">
        <v>11</v>
      </c>
      <c r="L5" s="7">
        <v>100</v>
      </c>
      <c r="M5" s="7">
        <v>90</v>
      </c>
      <c r="N5" s="7">
        <v>100</v>
      </c>
      <c r="O5" s="10">
        <f t="shared" si="0"/>
        <v>96.666666666666671</v>
      </c>
      <c r="Q5" s="137"/>
      <c r="R5" s="6" t="s">
        <v>11</v>
      </c>
      <c r="S5" s="7">
        <v>50</v>
      </c>
      <c r="T5" s="7">
        <v>33.33</v>
      </c>
      <c r="U5" s="10">
        <f t="shared" si="1"/>
        <v>41.664999999999999</v>
      </c>
      <c r="V5" s="103"/>
      <c r="X5" s="137"/>
      <c r="Y5" s="6" t="s">
        <v>11</v>
      </c>
      <c r="Z5" s="7">
        <v>66.67</v>
      </c>
      <c r="AA5" s="7">
        <v>83.33</v>
      </c>
      <c r="AB5" s="10">
        <f t="shared" si="2"/>
        <v>75</v>
      </c>
    </row>
    <row r="6" spans="1:28" x14ac:dyDescent="0.25">
      <c r="A6" s="138"/>
      <c r="B6" s="11" t="s">
        <v>12</v>
      </c>
      <c r="C6" s="12">
        <v>100</v>
      </c>
      <c r="D6" s="12">
        <v>100</v>
      </c>
      <c r="E6" s="12">
        <v>100</v>
      </c>
      <c r="F6" s="12">
        <v>100</v>
      </c>
      <c r="G6" s="13">
        <v>80</v>
      </c>
      <c r="H6" s="10">
        <f t="shared" si="3"/>
        <v>96</v>
      </c>
      <c r="J6" s="138"/>
      <c r="K6" s="21" t="s">
        <v>12</v>
      </c>
      <c r="L6" s="12">
        <v>100</v>
      </c>
      <c r="M6" s="12">
        <v>100</v>
      </c>
      <c r="N6" s="12">
        <v>100</v>
      </c>
      <c r="O6" s="10">
        <f t="shared" si="0"/>
        <v>100</v>
      </c>
      <c r="Q6" s="138"/>
      <c r="R6" s="11" t="s">
        <v>12</v>
      </c>
      <c r="S6" s="12">
        <v>100</v>
      </c>
      <c r="T6" s="12">
        <v>50</v>
      </c>
      <c r="U6" s="10">
        <f t="shared" si="1"/>
        <v>75</v>
      </c>
      <c r="V6" s="103"/>
      <c r="X6" s="138"/>
      <c r="Y6" s="11" t="s">
        <v>12</v>
      </c>
      <c r="Z6" s="12">
        <v>100</v>
      </c>
      <c r="AA6" s="12">
        <v>83.33</v>
      </c>
      <c r="AB6" s="10">
        <f t="shared" si="2"/>
        <v>91.664999999999992</v>
      </c>
    </row>
    <row r="7" spans="1:28" ht="15.75" thickBot="1" x14ac:dyDescent="0.3">
      <c r="A7" s="139"/>
      <c r="B7" s="14" t="s">
        <v>13</v>
      </c>
      <c r="C7" s="15">
        <v>100</v>
      </c>
      <c r="D7" s="15">
        <v>100</v>
      </c>
      <c r="E7" s="15">
        <v>100</v>
      </c>
      <c r="F7" s="15">
        <v>100</v>
      </c>
      <c r="G7" s="16">
        <v>100</v>
      </c>
      <c r="H7" s="17">
        <f t="shared" si="3"/>
        <v>100</v>
      </c>
      <c r="J7" s="139"/>
      <c r="K7" s="22" t="s">
        <v>13</v>
      </c>
      <c r="L7" s="15">
        <v>100</v>
      </c>
      <c r="M7" s="15">
        <v>100</v>
      </c>
      <c r="N7" s="15">
        <v>100</v>
      </c>
      <c r="O7" s="17">
        <f t="shared" si="0"/>
        <v>100</v>
      </c>
      <c r="Q7" s="139"/>
      <c r="R7" s="14" t="s">
        <v>13</v>
      </c>
      <c r="S7" s="15">
        <v>100</v>
      </c>
      <c r="T7" s="15">
        <v>100</v>
      </c>
      <c r="U7" s="17">
        <f t="shared" si="1"/>
        <v>100</v>
      </c>
      <c r="V7" s="103"/>
      <c r="X7" s="139"/>
      <c r="Y7" s="14" t="s">
        <v>13</v>
      </c>
      <c r="Z7" s="15">
        <v>100</v>
      </c>
      <c r="AA7" s="15">
        <v>66.67</v>
      </c>
      <c r="AB7" s="17">
        <f t="shared" si="2"/>
        <v>83.335000000000008</v>
      </c>
    </row>
    <row r="8" spans="1:28" x14ac:dyDescent="0.25">
      <c r="A8" s="142" t="s">
        <v>14</v>
      </c>
      <c r="B8" s="6" t="s">
        <v>9</v>
      </c>
      <c r="C8" s="18">
        <v>95</v>
      </c>
      <c r="D8" s="18">
        <v>100</v>
      </c>
      <c r="E8" s="18">
        <v>100</v>
      </c>
      <c r="F8" s="18">
        <v>100</v>
      </c>
      <c r="G8" s="19">
        <v>100</v>
      </c>
      <c r="H8" s="9">
        <f t="shared" ref="H8:H27" si="4">SUM(C8:G8)/5</f>
        <v>99</v>
      </c>
      <c r="J8" s="136" t="s">
        <v>19</v>
      </c>
      <c r="K8" s="20" t="s">
        <v>9</v>
      </c>
      <c r="L8" s="18">
        <v>75</v>
      </c>
      <c r="M8" s="18">
        <v>100</v>
      </c>
      <c r="N8" s="18">
        <v>100</v>
      </c>
      <c r="O8" s="9">
        <f t="shared" si="0"/>
        <v>91.666666666666671</v>
      </c>
      <c r="Q8" s="136" t="s">
        <v>26</v>
      </c>
      <c r="R8" s="6" t="s">
        <v>9</v>
      </c>
      <c r="S8" s="18">
        <v>66.67</v>
      </c>
      <c r="T8" s="18">
        <v>100</v>
      </c>
      <c r="U8" s="9">
        <f t="shared" si="1"/>
        <v>83.335000000000008</v>
      </c>
      <c r="V8" s="103"/>
      <c r="X8" s="136" t="s">
        <v>26</v>
      </c>
      <c r="Y8" s="6" t="s">
        <v>9</v>
      </c>
      <c r="Z8" s="18">
        <v>33.33</v>
      </c>
      <c r="AA8" s="18">
        <v>83.33</v>
      </c>
      <c r="AB8" s="9">
        <f t="shared" si="2"/>
        <v>58.33</v>
      </c>
    </row>
    <row r="9" spans="1:28" x14ac:dyDescent="0.25">
      <c r="A9" s="143"/>
      <c r="B9" s="6" t="s">
        <v>10</v>
      </c>
      <c r="C9" s="7">
        <v>100</v>
      </c>
      <c r="D9" s="7">
        <v>100</v>
      </c>
      <c r="E9" s="7">
        <v>100</v>
      </c>
      <c r="F9" s="7">
        <v>100</v>
      </c>
      <c r="G9" s="8">
        <v>100</v>
      </c>
      <c r="H9" s="10">
        <f t="shared" si="4"/>
        <v>100</v>
      </c>
      <c r="J9" s="137"/>
      <c r="K9" s="20" t="s">
        <v>10</v>
      </c>
      <c r="L9" s="7">
        <v>100</v>
      </c>
      <c r="M9" s="7">
        <v>100</v>
      </c>
      <c r="N9" s="7">
        <v>100</v>
      </c>
      <c r="O9" s="10">
        <f t="shared" si="0"/>
        <v>100</v>
      </c>
      <c r="Q9" s="137"/>
      <c r="R9" s="6" t="s">
        <v>10</v>
      </c>
      <c r="S9" s="7">
        <v>100</v>
      </c>
      <c r="T9" s="7">
        <v>100</v>
      </c>
      <c r="U9" s="10">
        <f t="shared" si="1"/>
        <v>100</v>
      </c>
      <c r="V9" s="103"/>
      <c r="X9" s="137"/>
      <c r="Y9" s="6" t="s">
        <v>10</v>
      </c>
      <c r="Z9" s="7">
        <v>100</v>
      </c>
      <c r="AA9" s="7">
        <v>100</v>
      </c>
      <c r="AB9" s="10">
        <f t="shared" si="2"/>
        <v>100</v>
      </c>
    </row>
    <row r="10" spans="1:28" x14ac:dyDescent="0.25">
      <c r="A10" s="143"/>
      <c r="B10" s="6" t="s">
        <v>11</v>
      </c>
      <c r="C10" s="7">
        <v>95</v>
      </c>
      <c r="D10" s="7">
        <v>5</v>
      </c>
      <c r="E10" s="7">
        <v>75</v>
      </c>
      <c r="F10" s="7">
        <v>100</v>
      </c>
      <c r="G10" s="8">
        <v>60</v>
      </c>
      <c r="H10" s="10">
        <f t="shared" si="4"/>
        <v>67</v>
      </c>
      <c r="J10" s="137"/>
      <c r="K10" s="20" t="s">
        <v>11</v>
      </c>
      <c r="L10" s="7">
        <v>95</v>
      </c>
      <c r="M10" s="7">
        <v>100</v>
      </c>
      <c r="N10" s="7">
        <v>100</v>
      </c>
      <c r="O10" s="10">
        <f t="shared" si="0"/>
        <v>98.333333333333329</v>
      </c>
      <c r="Q10" s="137"/>
      <c r="R10" s="6" t="s">
        <v>11</v>
      </c>
      <c r="S10" s="7">
        <v>0</v>
      </c>
      <c r="T10" s="7">
        <v>83.33</v>
      </c>
      <c r="U10" s="10">
        <f t="shared" si="1"/>
        <v>41.664999999999999</v>
      </c>
      <c r="V10" s="103"/>
      <c r="X10" s="137"/>
      <c r="Y10" s="6" t="s">
        <v>11</v>
      </c>
      <c r="Z10" s="7">
        <v>16.670000000000002</v>
      </c>
      <c r="AA10" s="7">
        <v>50</v>
      </c>
      <c r="AB10" s="10">
        <f t="shared" si="2"/>
        <v>33.335000000000001</v>
      </c>
    </row>
    <row r="11" spans="1:28" x14ac:dyDescent="0.25">
      <c r="A11" s="143"/>
      <c r="B11" s="11" t="s">
        <v>12</v>
      </c>
      <c r="C11" s="12">
        <v>100</v>
      </c>
      <c r="D11" s="12">
        <v>100</v>
      </c>
      <c r="E11" s="12">
        <v>100</v>
      </c>
      <c r="F11" s="12">
        <v>100</v>
      </c>
      <c r="G11" s="13">
        <v>100</v>
      </c>
      <c r="H11" s="10">
        <f t="shared" si="4"/>
        <v>100</v>
      </c>
      <c r="J11" s="138"/>
      <c r="K11" s="21" t="s">
        <v>12</v>
      </c>
      <c r="L11" s="12">
        <v>100</v>
      </c>
      <c r="M11" s="12">
        <v>100</v>
      </c>
      <c r="N11" s="12">
        <v>75</v>
      </c>
      <c r="O11" s="10">
        <f t="shared" si="0"/>
        <v>91.666666666666671</v>
      </c>
      <c r="Q11" s="138"/>
      <c r="R11" s="11" t="s">
        <v>12</v>
      </c>
      <c r="S11" s="12">
        <v>66.67</v>
      </c>
      <c r="T11" s="12">
        <v>100</v>
      </c>
      <c r="U11" s="10">
        <f t="shared" si="1"/>
        <v>83.335000000000008</v>
      </c>
      <c r="V11" s="103"/>
      <c r="X11" s="138"/>
      <c r="Y11" s="11" t="s">
        <v>12</v>
      </c>
      <c r="Z11" s="12">
        <v>100</v>
      </c>
      <c r="AA11" s="12">
        <v>100</v>
      </c>
      <c r="AB11" s="10">
        <f t="shared" si="2"/>
        <v>100</v>
      </c>
    </row>
    <row r="12" spans="1:28" ht="15.75" thickBot="1" x14ac:dyDescent="0.3">
      <c r="A12" s="144"/>
      <c r="B12" s="14" t="s">
        <v>13</v>
      </c>
      <c r="C12" s="15">
        <v>100</v>
      </c>
      <c r="D12" s="15">
        <v>100</v>
      </c>
      <c r="E12" s="15">
        <v>100</v>
      </c>
      <c r="F12" s="15">
        <v>100</v>
      </c>
      <c r="G12" s="16">
        <v>100</v>
      </c>
      <c r="H12" s="17">
        <f t="shared" si="4"/>
        <v>100</v>
      </c>
      <c r="J12" s="139"/>
      <c r="K12" s="22" t="s">
        <v>13</v>
      </c>
      <c r="L12" s="15">
        <v>100</v>
      </c>
      <c r="M12" s="15">
        <v>95</v>
      </c>
      <c r="N12" s="15">
        <v>100</v>
      </c>
      <c r="O12" s="17">
        <f t="shared" si="0"/>
        <v>98.333333333333329</v>
      </c>
      <c r="Q12" s="139"/>
      <c r="R12" s="14" t="s">
        <v>13</v>
      </c>
      <c r="S12" s="15">
        <v>100</v>
      </c>
      <c r="T12" s="15">
        <v>100</v>
      </c>
      <c r="U12" s="17">
        <f t="shared" si="1"/>
        <v>100</v>
      </c>
      <c r="V12" s="103"/>
      <c r="X12" s="139"/>
      <c r="Y12" s="14" t="s">
        <v>13</v>
      </c>
      <c r="Z12" s="15">
        <v>100</v>
      </c>
      <c r="AA12" s="15">
        <v>100</v>
      </c>
      <c r="AB12" s="17">
        <f t="shared" si="2"/>
        <v>100</v>
      </c>
    </row>
    <row r="13" spans="1:28" x14ac:dyDescent="0.25">
      <c r="A13" s="142" t="s">
        <v>15</v>
      </c>
      <c r="B13" s="6" t="s">
        <v>9</v>
      </c>
      <c r="C13" s="18">
        <v>100</v>
      </c>
      <c r="D13" s="18">
        <v>95</v>
      </c>
      <c r="E13" s="18">
        <v>100</v>
      </c>
      <c r="F13" s="18">
        <v>75</v>
      </c>
      <c r="G13" s="19">
        <v>95</v>
      </c>
      <c r="H13" s="9">
        <f t="shared" si="4"/>
        <v>93</v>
      </c>
      <c r="J13" s="136" t="s">
        <v>20</v>
      </c>
      <c r="K13" s="20" t="s">
        <v>9</v>
      </c>
      <c r="L13" s="18">
        <v>100</v>
      </c>
      <c r="M13" s="18">
        <v>100</v>
      </c>
      <c r="N13" s="18">
        <f>18*100/20</f>
        <v>90</v>
      </c>
      <c r="O13" s="9">
        <f t="shared" si="0"/>
        <v>96.666666666666671</v>
      </c>
      <c r="Q13" s="136" t="s">
        <v>27</v>
      </c>
      <c r="R13" s="6" t="s">
        <v>9</v>
      </c>
      <c r="S13" s="18">
        <v>100</v>
      </c>
      <c r="T13" s="18">
        <v>83.33</v>
      </c>
      <c r="U13" s="9">
        <f t="shared" si="1"/>
        <v>91.664999999999992</v>
      </c>
      <c r="V13" s="103"/>
      <c r="X13" s="136" t="s">
        <v>27</v>
      </c>
      <c r="Y13" s="6" t="s">
        <v>9</v>
      </c>
      <c r="Z13" s="18">
        <v>66.67</v>
      </c>
      <c r="AA13" s="18">
        <v>100</v>
      </c>
      <c r="AB13" s="9">
        <f t="shared" si="2"/>
        <v>83.335000000000008</v>
      </c>
    </row>
    <row r="14" spans="1:28" x14ac:dyDescent="0.25">
      <c r="A14" s="143"/>
      <c r="B14" s="6" t="s">
        <v>10</v>
      </c>
      <c r="C14" s="7">
        <v>100</v>
      </c>
      <c r="D14" s="7">
        <v>100</v>
      </c>
      <c r="E14" s="7">
        <v>100</v>
      </c>
      <c r="F14" s="7">
        <v>100</v>
      </c>
      <c r="G14" s="8">
        <v>100</v>
      </c>
      <c r="H14" s="10">
        <f t="shared" si="4"/>
        <v>100</v>
      </c>
      <c r="J14" s="137"/>
      <c r="K14" s="20" t="s">
        <v>10</v>
      </c>
      <c r="L14" s="7">
        <v>100</v>
      </c>
      <c r="M14" s="7">
        <v>100</v>
      </c>
      <c r="N14" s="7">
        <v>100</v>
      </c>
      <c r="O14" s="10">
        <f t="shared" si="0"/>
        <v>100</v>
      </c>
      <c r="Q14" s="137"/>
      <c r="R14" s="6" t="s">
        <v>10</v>
      </c>
      <c r="S14" s="7">
        <v>100</v>
      </c>
      <c r="T14" s="7">
        <v>100</v>
      </c>
      <c r="U14" s="10">
        <f t="shared" si="1"/>
        <v>100</v>
      </c>
      <c r="V14" s="103"/>
      <c r="X14" s="137"/>
      <c r="Y14" s="6" t="s">
        <v>10</v>
      </c>
      <c r="Z14" s="7">
        <v>100</v>
      </c>
      <c r="AA14" s="7">
        <v>100</v>
      </c>
      <c r="AB14" s="10">
        <f t="shared" si="2"/>
        <v>100</v>
      </c>
    </row>
    <row r="15" spans="1:28" x14ac:dyDescent="0.25">
      <c r="A15" s="143"/>
      <c r="B15" s="6" t="s">
        <v>11</v>
      </c>
      <c r="C15" s="7">
        <v>85</v>
      </c>
      <c r="D15" s="7">
        <v>5</v>
      </c>
      <c r="E15" s="7">
        <v>85</v>
      </c>
      <c r="F15" s="7">
        <v>75</v>
      </c>
      <c r="G15" s="8">
        <v>85</v>
      </c>
      <c r="H15" s="10">
        <f t="shared" si="4"/>
        <v>67</v>
      </c>
      <c r="J15" s="137"/>
      <c r="K15" s="20" t="s">
        <v>11</v>
      </c>
      <c r="L15" s="7">
        <v>100</v>
      </c>
      <c r="M15" s="7">
        <v>100</v>
      </c>
      <c r="N15" s="7">
        <v>100</v>
      </c>
      <c r="O15" s="10">
        <f t="shared" si="0"/>
        <v>100</v>
      </c>
      <c r="Q15" s="137"/>
      <c r="R15" s="6" t="s">
        <v>11</v>
      </c>
      <c r="S15" s="7">
        <v>0</v>
      </c>
      <c r="T15" s="7">
        <v>50</v>
      </c>
      <c r="U15" s="10">
        <f t="shared" si="1"/>
        <v>25</v>
      </c>
      <c r="V15" s="103"/>
      <c r="X15" s="137"/>
      <c r="Y15" s="6" t="s">
        <v>11</v>
      </c>
      <c r="Z15" s="7">
        <v>16.670000000000002</v>
      </c>
      <c r="AA15" s="7">
        <v>100</v>
      </c>
      <c r="AB15" s="10">
        <f t="shared" si="2"/>
        <v>58.335000000000001</v>
      </c>
    </row>
    <row r="16" spans="1:28" x14ac:dyDescent="0.25">
      <c r="A16" s="143"/>
      <c r="B16" s="11" t="s">
        <v>12</v>
      </c>
      <c r="C16" s="12">
        <v>95</v>
      </c>
      <c r="D16" s="12">
        <v>100</v>
      </c>
      <c r="E16" s="12">
        <v>100</v>
      </c>
      <c r="F16" s="12">
        <v>95</v>
      </c>
      <c r="G16" s="13">
        <v>100</v>
      </c>
      <c r="H16" s="10">
        <f t="shared" si="4"/>
        <v>98</v>
      </c>
      <c r="J16" s="138"/>
      <c r="K16" s="21" t="s">
        <v>12</v>
      </c>
      <c r="L16" s="12">
        <v>100</v>
      </c>
      <c r="M16" s="12">
        <v>100</v>
      </c>
      <c r="N16" s="12">
        <v>100</v>
      </c>
      <c r="O16" s="10">
        <f t="shared" si="0"/>
        <v>100</v>
      </c>
      <c r="Q16" s="138"/>
      <c r="R16" s="11" t="s">
        <v>12</v>
      </c>
      <c r="S16" s="12">
        <v>83.33</v>
      </c>
      <c r="T16" s="12">
        <v>83.33</v>
      </c>
      <c r="U16" s="10">
        <f t="shared" si="1"/>
        <v>83.33</v>
      </c>
      <c r="V16" s="103"/>
      <c r="X16" s="138"/>
      <c r="Y16" s="11" t="s">
        <v>12</v>
      </c>
      <c r="Z16" s="12">
        <v>83.33</v>
      </c>
      <c r="AA16" s="12">
        <v>83.33</v>
      </c>
      <c r="AB16" s="10">
        <f t="shared" si="2"/>
        <v>83.33</v>
      </c>
    </row>
    <row r="17" spans="1:31" ht="15.75" thickBot="1" x14ac:dyDescent="0.3">
      <c r="A17" s="144"/>
      <c r="B17" s="14" t="s">
        <v>13</v>
      </c>
      <c r="C17" s="15">
        <v>100</v>
      </c>
      <c r="D17" s="15">
        <v>100</v>
      </c>
      <c r="E17" s="15">
        <v>100</v>
      </c>
      <c r="F17" s="15">
        <v>100</v>
      </c>
      <c r="G17" s="16">
        <v>100</v>
      </c>
      <c r="H17" s="17">
        <f t="shared" si="4"/>
        <v>100</v>
      </c>
      <c r="J17" s="139"/>
      <c r="K17" s="22" t="s">
        <v>13</v>
      </c>
      <c r="L17" s="15">
        <v>100</v>
      </c>
      <c r="M17" s="15">
        <v>95</v>
      </c>
      <c r="N17" s="15">
        <v>100</v>
      </c>
      <c r="O17" s="17">
        <f t="shared" si="0"/>
        <v>98.333333333333329</v>
      </c>
      <c r="Q17" s="139"/>
      <c r="R17" s="14" t="s">
        <v>13</v>
      </c>
      <c r="S17" s="15">
        <v>100</v>
      </c>
      <c r="T17" s="15">
        <v>100</v>
      </c>
      <c r="U17" s="17">
        <f t="shared" si="1"/>
        <v>100</v>
      </c>
      <c r="V17" s="103"/>
      <c r="X17" s="139"/>
      <c r="Y17" s="14" t="s">
        <v>13</v>
      </c>
      <c r="Z17" s="15">
        <v>100</v>
      </c>
      <c r="AA17" s="15">
        <v>100</v>
      </c>
      <c r="AB17" s="17">
        <f t="shared" si="2"/>
        <v>100</v>
      </c>
    </row>
    <row r="18" spans="1:31" x14ac:dyDescent="0.25">
      <c r="A18" s="142" t="s">
        <v>16</v>
      </c>
      <c r="B18" s="6" t="s">
        <v>9</v>
      </c>
      <c r="C18" s="18">
        <v>75</v>
      </c>
      <c r="D18" s="18">
        <v>70</v>
      </c>
      <c r="E18" s="18">
        <v>95</v>
      </c>
      <c r="F18" s="18">
        <v>75</v>
      </c>
      <c r="G18" s="19">
        <v>85</v>
      </c>
      <c r="H18" s="9">
        <f t="shared" si="4"/>
        <v>80</v>
      </c>
      <c r="J18" s="136" t="s">
        <v>21</v>
      </c>
      <c r="K18" s="20" t="s">
        <v>9</v>
      </c>
      <c r="L18" s="18">
        <v>95</v>
      </c>
      <c r="M18" s="18">
        <v>95</v>
      </c>
      <c r="N18" s="18">
        <v>75</v>
      </c>
      <c r="O18" s="9">
        <f t="shared" si="0"/>
        <v>88.333333333333329</v>
      </c>
      <c r="Q18" s="136" t="s">
        <v>28</v>
      </c>
      <c r="R18" s="6" t="s">
        <v>9</v>
      </c>
      <c r="S18" s="18">
        <v>66.67</v>
      </c>
      <c r="T18" s="18">
        <v>100</v>
      </c>
      <c r="U18" s="9">
        <f t="shared" si="1"/>
        <v>83.335000000000008</v>
      </c>
      <c r="V18" s="103"/>
      <c r="X18" s="136" t="s">
        <v>28</v>
      </c>
      <c r="Y18" s="6" t="s">
        <v>9</v>
      </c>
      <c r="Z18" s="18">
        <v>66.67</v>
      </c>
      <c r="AA18" s="18">
        <v>100</v>
      </c>
      <c r="AB18" s="9">
        <f t="shared" si="2"/>
        <v>83.335000000000008</v>
      </c>
    </row>
    <row r="19" spans="1:31" x14ac:dyDescent="0.25">
      <c r="A19" s="143"/>
      <c r="B19" s="6" t="s">
        <v>10</v>
      </c>
      <c r="C19" s="7">
        <v>100</v>
      </c>
      <c r="D19" s="7">
        <v>100</v>
      </c>
      <c r="E19" s="7">
        <v>100</v>
      </c>
      <c r="F19" s="7">
        <v>100</v>
      </c>
      <c r="G19" s="8">
        <v>100</v>
      </c>
      <c r="H19" s="10">
        <f t="shared" si="4"/>
        <v>100</v>
      </c>
      <c r="J19" s="137"/>
      <c r="K19" s="20" t="s">
        <v>10</v>
      </c>
      <c r="L19" s="7">
        <v>100</v>
      </c>
      <c r="M19" s="7">
        <v>100</v>
      </c>
      <c r="N19" s="7">
        <v>100</v>
      </c>
      <c r="O19" s="10">
        <f t="shared" si="0"/>
        <v>100</v>
      </c>
      <c r="Q19" s="137"/>
      <c r="R19" s="6" t="s">
        <v>10</v>
      </c>
      <c r="S19" s="7">
        <v>100</v>
      </c>
      <c r="T19" s="7">
        <v>100</v>
      </c>
      <c r="U19" s="10">
        <f t="shared" si="1"/>
        <v>100</v>
      </c>
      <c r="V19" s="103"/>
      <c r="X19" s="137"/>
      <c r="Y19" s="6" t="s">
        <v>10</v>
      </c>
      <c r="Z19" s="7">
        <v>100</v>
      </c>
      <c r="AA19" s="7">
        <v>100</v>
      </c>
      <c r="AB19" s="10">
        <f t="shared" si="2"/>
        <v>100</v>
      </c>
    </row>
    <row r="20" spans="1:31" x14ac:dyDescent="0.25">
      <c r="A20" s="143"/>
      <c r="B20" s="6" t="s">
        <v>11</v>
      </c>
      <c r="C20" s="7">
        <v>45</v>
      </c>
      <c r="D20" s="7">
        <v>10</v>
      </c>
      <c r="E20" s="7">
        <v>75</v>
      </c>
      <c r="F20" s="7">
        <v>65</v>
      </c>
      <c r="G20" s="8">
        <v>85</v>
      </c>
      <c r="H20" s="10">
        <f t="shared" si="4"/>
        <v>56</v>
      </c>
      <c r="J20" s="137"/>
      <c r="K20" s="20" t="s">
        <v>11</v>
      </c>
      <c r="L20" s="7">
        <v>100</v>
      </c>
      <c r="M20" s="7">
        <v>100</v>
      </c>
      <c r="N20" s="7">
        <v>80</v>
      </c>
      <c r="O20" s="10">
        <f t="shared" si="0"/>
        <v>93.333333333333329</v>
      </c>
      <c r="Q20" s="137"/>
      <c r="R20" s="6" t="s">
        <v>11</v>
      </c>
      <c r="S20" s="7">
        <v>0</v>
      </c>
      <c r="T20" s="7">
        <v>83.33</v>
      </c>
      <c r="U20" s="10">
        <f t="shared" si="1"/>
        <v>41.664999999999999</v>
      </c>
      <c r="V20" s="103"/>
      <c r="X20" s="137"/>
      <c r="Y20" s="6" t="s">
        <v>11</v>
      </c>
      <c r="Z20" s="7">
        <v>0</v>
      </c>
      <c r="AA20" s="7">
        <v>100</v>
      </c>
      <c r="AB20" s="10">
        <f t="shared" si="2"/>
        <v>50</v>
      </c>
    </row>
    <row r="21" spans="1:31" x14ac:dyDescent="0.25">
      <c r="A21" s="143"/>
      <c r="B21" s="11" t="s">
        <v>12</v>
      </c>
      <c r="C21" s="12">
        <v>95</v>
      </c>
      <c r="D21" s="12">
        <v>95</v>
      </c>
      <c r="E21" s="12">
        <v>100</v>
      </c>
      <c r="F21" s="12">
        <v>100</v>
      </c>
      <c r="G21" s="13">
        <v>90</v>
      </c>
      <c r="H21" s="10">
        <f t="shared" si="4"/>
        <v>96</v>
      </c>
      <c r="J21" s="138"/>
      <c r="K21" s="21" t="s">
        <v>12</v>
      </c>
      <c r="L21" s="12">
        <v>100</v>
      </c>
      <c r="M21" s="12">
        <v>100</v>
      </c>
      <c r="N21" s="12">
        <v>100</v>
      </c>
      <c r="O21" s="10">
        <f t="shared" si="0"/>
        <v>100</v>
      </c>
      <c r="Q21" s="138"/>
      <c r="R21" s="11" t="s">
        <v>12</v>
      </c>
      <c r="S21" s="12">
        <v>50</v>
      </c>
      <c r="T21" s="12">
        <v>66.67</v>
      </c>
      <c r="U21" s="10">
        <f t="shared" si="1"/>
        <v>58.335000000000001</v>
      </c>
      <c r="V21" s="103"/>
      <c r="X21" s="138"/>
      <c r="Y21" s="11" t="s">
        <v>12</v>
      </c>
      <c r="Z21" s="12">
        <v>100</v>
      </c>
      <c r="AA21" s="12">
        <v>83.33</v>
      </c>
      <c r="AB21" s="10">
        <f t="shared" si="2"/>
        <v>91.664999999999992</v>
      </c>
    </row>
    <row r="22" spans="1:31" ht="15.75" thickBot="1" x14ac:dyDescent="0.3">
      <c r="A22" s="144"/>
      <c r="B22" s="14" t="s">
        <v>13</v>
      </c>
      <c r="C22" s="15">
        <v>100</v>
      </c>
      <c r="D22" s="15">
        <v>100</v>
      </c>
      <c r="E22" s="15">
        <v>95</v>
      </c>
      <c r="F22" s="15">
        <v>100</v>
      </c>
      <c r="G22" s="16">
        <v>100</v>
      </c>
      <c r="H22" s="17">
        <f t="shared" si="4"/>
        <v>99</v>
      </c>
      <c r="J22" s="139"/>
      <c r="K22" s="22" t="s">
        <v>13</v>
      </c>
      <c r="L22" s="15">
        <v>100</v>
      </c>
      <c r="M22" s="15">
        <v>100</v>
      </c>
      <c r="N22" s="15">
        <v>100</v>
      </c>
      <c r="O22" s="17">
        <f t="shared" si="0"/>
        <v>100</v>
      </c>
      <c r="Q22" s="139"/>
      <c r="R22" s="14" t="s">
        <v>13</v>
      </c>
      <c r="S22" s="15">
        <v>100</v>
      </c>
      <c r="T22" s="15">
        <v>100</v>
      </c>
      <c r="U22" s="17">
        <f t="shared" si="1"/>
        <v>100</v>
      </c>
      <c r="V22" s="103"/>
      <c r="X22" s="139"/>
      <c r="Y22" s="14" t="s">
        <v>13</v>
      </c>
      <c r="Z22" s="15">
        <v>100</v>
      </c>
      <c r="AA22" s="15">
        <v>100</v>
      </c>
      <c r="AB22" s="17">
        <f t="shared" si="2"/>
        <v>100</v>
      </c>
    </row>
    <row r="23" spans="1:31" x14ac:dyDescent="0.25">
      <c r="A23" s="136" t="s">
        <v>17</v>
      </c>
      <c r="B23" s="6" t="s">
        <v>9</v>
      </c>
      <c r="C23" s="18">
        <v>15</v>
      </c>
      <c r="D23" s="18">
        <v>0</v>
      </c>
      <c r="E23" s="18">
        <v>30</v>
      </c>
      <c r="F23" s="18">
        <v>20</v>
      </c>
      <c r="G23" s="19">
        <v>5</v>
      </c>
      <c r="H23" s="10">
        <f t="shared" si="4"/>
        <v>14</v>
      </c>
      <c r="J23" s="136" t="s">
        <v>22</v>
      </c>
      <c r="K23" s="50" t="s">
        <v>9</v>
      </c>
      <c r="L23" s="18">
        <v>55</v>
      </c>
      <c r="M23" s="18">
        <v>40</v>
      </c>
      <c r="N23" s="18">
        <v>50</v>
      </c>
      <c r="O23" s="9">
        <f t="shared" si="0"/>
        <v>48.333333333333336</v>
      </c>
      <c r="Q23" s="136" t="s">
        <v>29</v>
      </c>
      <c r="R23" s="23" t="s">
        <v>9</v>
      </c>
      <c r="S23" s="18">
        <v>83.33</v>
      </c>
      <c r="T23" s="18">
        <v>83.33</v>
      </c>
      <c r="U23" s="9">
        <f t="shared" si="1"/>
        <v>83.33</v>
      </c>
      <c r="V23" s="103"/>
      <c r="X23" s="136" t="s">
        <v>29</v>
      </c>
      <c r="Y23" s="23" t="s">
        <v>9</v>
      </c>
      <c r="Z23" s="18">
        <v>33.33</v>
      </c>
      <c r="AA23" s="18">
        <v>50</v>
      </c>
      <c r="AB23" s="9">
        <f t="shared" si="2"/>
        <v>41.664999999999999</v>
      </c>
    </row>
    <row r="24" spans="1:31" x14ac:dyDescent="0.25">
      <c r="A24" s="137"/>
      <c r="B24" s="6" t="s">
        <v>10</v>
      </c>
      <c r="C24" s="7">
        <v>95</v>
      </c>
      <c r="D24" s="7">
        <v>100</v>
      </c>
      <c r="E24" s="7">
        <v>100</v>
      </c>
      <c r="F24" s="7">
        <v>100</v>
      </c>
      <c r="G24" s="8">
        <v>100</v>
      </c>
      <c r="H24" s="10">
        <f t="shared" si="4"/>
        <v>99</v>
      </c>
      <c r="J24" s="137"/>
      <c r="K24" s="20" t="s">
        <v>10</v>
      </c>
      <c r="L24" s="7">
        <v>95</v>
      </c>
      <c r="M24" s="7">
        <v>100</v>
      </c>
      <c r="N24" s="7">
        <v>95</v>
      </c>
      <c r="O24" s="10">
        <f t="shared" si="0"/>
        <v>96.666666666666671</v>
      </c>
      <c r="Q24" s="137"/>
      <c r="R24" s="6" t="s">
        <v>10</v>
      </c>
      <c r="S24" s="7">
        <v>100</v>
      </c>
      <c r="T24" s="7">
        <v>100</v>
      </c>
      <c r="U24" s="10">
        <f t="shared" si="1"/>
        <v>100</v>
      </c>
      <c r="V24" s="103"/>
      <c r="X24" s="137"/>
      <c r="Y24" s="6" t="s">
        <v>10</v>
      </c>
      <c r="Z24" s="7">
        <v>100</v>
      </c>
      <c r="AA24" s="7">
        <v>100</v>
      </c>
      <c r="AB24" s="10">
        <f t="shared" si="2"/>
        <v>100</v>
      </c>
    </row>
    <row r="25" spans="1:31" x14ac:dyDescent="0.25">
      <c r="A25" s="137"/>
      <c r="B25" s="6" t="s">
        <v>11</v>
      </c>
      <c r="C25" s="7">
        <v>50</v>
      </c>
      <c r="D25" s="7">
        <v>10</v>
      </c>
      <c r="E25" s="7">
        <v>55</v>
      </c>
      <c r="F25" s="7">
        <v>85</v>
      </c>
      <c r="G25" s="8">
        <v>40</v>
      </c>
      <c r="H25" s="10">
        <f t="shared" si="4"/>
        <v>48</v>
      </c>
      <c r="J25" s="137"/>
      <c r="K25" s="20" t="s">
        <v>11</v>
      </c>
      <c r="L25" s="7">
        <v>100</v>
      </c>
      <c r="M25" s="7">
        <v>80</v>
      </c>
      <c r="N25" s="7">
        <v>85</v>
      </c>
      <c r="O25" s="10">
        <f t="shared" si="0"/>
        <v>88.333333333333329</v>
      </c>
      <c r="Q25" s="137"/>
      <c r="R25" s="6" t="s">
        <v>11</v>
      </c>
      <c r="S25" s="7">
        <v>0</v>
      </c>
      <c r="T25" s="7">
        <v>50</v>
      </c>
      <c r="U25" s="10">
        <f t="shared" si="1"/>
        <v>25</v>
      </c>
      <c r="V25" s="103"/>
      <c r="X25" s="137"/>
      <c r="Y25" s="6" t="s">
        <v>11</v>
      </c>
      <c r="Z25" s="7">
        <v>16.670000000000002</v>
      </c>
      <c r="AA25" s="7">
        <v>33.33</v>
      </c>
      <c r="AB25" s="10">
        <f t="shared" si="2"/>
        <v>25</v>
      </c>
    </row>
    <row r="26" spans="1:31" x14ac:dyDescent="0.25">
      <c r="A26" s="138"/>
      <c r="B26" s="11" t="s">
        <v>12</v>
      </c>
      <c r="C26" s="12">
        <v>95</v>
      </c>
      <c r="D26" s="12">
        <v>100</v>
      </c>
      <c r="E26" s="12">
        <v>80</v>
      </c>
      <c r="F26" s="12">
        <v>100</v>
      </c>
      <c r="G26" s="13">
        <v>65</v>
      </c>
      <c r="H26" s="10">
        <f t="shared" si="4"/>
        <v>88</v>
      </c>
      <c r="J26" s="138"/>
      <c r="K26" s="21" t="s">
        <v>12</v>
      </c>
      <c r="L26" s="12">
        <v>100</v>
      </c>
      <c r="M26" s="12">
        <v>100</v>
      </c>
      <c r="N26" s="12">
        <v>100</v>
      </c>
      <c r="O26" s="10">
        <f t="shared" si="0"/>
        <v>100</v>
      </c>
      <c r="Q26" s="138"/>
      <c r="R26" s="11" t="s">
        <v>12</v>
      </c>
      <c r="S26" s="12">
        <v>50</v>
      </c>
      <c r="T26" s="12">
        <v>83.33</v>
      </c>
      <c r="U26" s="10">
        <f t="shared" si="1"/>
        <v>66.664999999999992</v>
      </c>
      <c r="V26" s="103"/>
      <c r="X26" s="138"/>
      <c r="Y26" s="11" t="s">
        <v>12</v>
      </c>
      <c r="Z26" s="12">
        <v>66.67</v>
      </c>
      <c r="AA26" s="12">
        <v>50</v>
      </c>
      <c r="AB26" s="10">
        <f t="shared" si="2"/>
        <v>58.335000000000001</v>
      </c>
    </row>
    <row r="27" spans="1:31" ht="15.75" thickBot="1" x14ac:dyDescent="0.3">
      <c r="A27" s="139"/>
      <c r="B27" s="14" t="s">
        <v>13</v>
      </c>
      <c r="C27" s="15">
        <v>100</v>
      </c>
      <c r="D27" s="15">
        <v>100</v>
      </c>
      <c r="E27" s="15">
        <v>100</v>
      </c>
      <c r="F27" s="15">
        <v>100</v>
      </c>
      <c r="G27" s="16">
        <v>100</v>
      </c>
      <c r="H27" s="17">
        <f t="shared" si="4"/>
        <v>100</v>
      </c>
      <c r="J27" s="139"/>
      <c r="K27" s="22" t="s">
        <v>13</v>
      </c>
      <c r="L27" s="15">
        <v>100</v>
      </c>
      <c r="M27" s="15">
        <v>100</v>
      </c>
      <c r="N27" s="15">
        <v>100</v>
      </c>
      <c r="O27" s="17">
        <f t="shared" si="0"/>
        <v>100</v>
      </c>
      <c r="Q27" s="139"/>
      <c r="R27" s="14" t="s">
        <v>13</v>
      </c>
      <c r="S27" s="15">
        <v>100</v>
      </c>
      <c r="T27" s="15">
        <v>100</v>
      </c>
      <c r="U27" s="17">
        <f t="shared" si="1"/>
        <v>100</v>
      </c>
      <c r="V27" s="103"/>
      <c r="X27" s="139"/>
      <c r="Y27" s="14" t="s">
        <v>13</v>
      </c>
      <c r="Z27" s="15">
        <v>100</v>
      </c>
      <c r="AA27" s="15">
        <v>83.33</v>
      </c>
      <c r="AB27" s="17">
        <f t="shared" si="2"/>
        <v>91.664999999999992</v>
      </c>
    </row>
    <row r="29" spans="1:31" x14ac:dyDescent="0.25">
      <c r="B29" s="49" t="s">
        <v>62</v>
      </c>
      <c r="K29" s="49" t="s">
        <v>53</v>
      </c>
      <c r="R29" s="49" t="s">
        <v>63</v>
      </c>
      <c r="Y29" s="49" t="s">
        <v>64</v>
      </c>
    </row>
    <row r="30" spans="1:31" x14ac:dyDescent="0.25">
      <c r="B30" s="100" t="s">
        <v>1</v>
      </c>
      <c r="C30" s="100" t="s">
        <v>57</v>
      </c>
      <c r="D30" s="100" t="s">
        <v>58</v>
      </c>
      <c r="E30" s="100" t="s">
        <v>59</v>
      </c>
      <c r="F30" s="100" t="s">
        <v>60</v>
      </c>
      <c r="G30" s="100" t="s">
        <v>61</v>
      </c>
      <c r="H30" s="104" t="s">
        <v>48</v>
      </c>
      <c r="K30" s="100" t="s">
        <v>1</v>
      </c>
      <c r="L30" s="100" t="s">
        <v>57</v>
      </c>
      <c r="M30" s="100" t="s">
        <v>58</v>
      </c>
      <c r="N30" s="100" t="s">
        <v>59</v>
      </c>
      <c r="O30" s="100" t="s">
        <v>60</v>
      </c>
      <c r="P30" s="100" t="s">
        <v>61</v>
      </c>
      <c r="Q30" s="104" t="s">
        <v>48</v>
      </c>
      <c r="R30" s="100" t="s">
        <v>1</v>
      </c>
      <c r="S30" s="100" t="s">
        <v>57</v>
      </c>
      <c r="T30" s="100" t="s">
        <v>58</v>
      </c>
      <c r="U30" s="100" t="s">
        <v>59</v>
      </c>
      <c r="V30" s="100" t="s">
        <v>60</v>
      </c>
      <c r="W30" s="100" t="s">
        <v>61</v>
      </c>
      <c r="X30" s="104" t="s">
        <v>48</v>
      </c>
      <c r="Y30" s="100" t="s">
        <v>1</v>
      </c>
      <c r="Z30" s="100" t="s">
        <v>57</v>
      </c>
      <c r="AA30" s="100" t="s">
        <v>58</v>
      </c>
      <c r="AB30" s="100" t="s">
        <v>59</v>
      </c>
      <c r="AC30" s="100" t="s">
        <v>60</v>
      </c>
      <c r="AD30" s="100" t="s">
        <v>61</v>
      </c>
      <c r="AE30" s="104" t="s">
        <v>48</v>
      </c>
    </row>
    <row r="31" spans="1:31" x14ac:dyDescent="0.25">
      <c r="B31" s="98" t="s">
        <v>9</v>
      </c>
      <c r="C31" s="99">
        <v>100</v>
      </c>
      <c r="D31" s="34">
        <f>H8-C31</f>
        <v>-1</v>
      </c>
      <c r="E31" s="34">
        <f>H13-H8</f>
        <v>-6</v>
      </c>
      <c r="F31" s="34">
        <f>H18-H13</f>
        <v>-13</v>
      </c>
      <c r="G31" s="34">
        <f>H23-H18</f>
        <v>-66</v>
      </c>
      <c r="H31">
        <f>SUM(D31:G31)</f>
        <v>-86</v>
      </c>
      <c r="K31" s="98" t="s">
        <v>9</v>
      </c>
      <c r="L31" s="34">
        <v>98.333333333333329</v>
      </c>
      <c r="M31" s="34">
        <f>O8-O3</f>
        <v>-6.6666666666666572</v>
      </c>
      <c r="N31" s="34">
        <f>O13-O8</f>
        <v>5</v>
      </c>
      <c r="O31" s="34">
        <f>O18-O13</f>
        <v>-8.3333333333333428</v>
      </c>
      <c r="P31" s="34">
        <f>O23-O18</f>
        <v>-39.999999999999993</v>
      </c>
      <c r="Q31">
        <f>SUM(M31:P31)</f>
        <v>-49.999999999999993</v>
      </c>
      <c r="R31" s="98" t="s">
        <v>9</v>
      </c>
      <c r="S31" s="34">
        <v>83.33</v>
      </c>
      <c r="T31" s="34">
        <f>U8-U3</f>
        <v>5.0000000000096634E-3</v>
      </c>
      <c r="U31" s="34">
        <f>U13-U8</f>
        <v>8.3299999999999841</v>
      </c>
      <c r="V31" s="34">
        <f>U18-U13</f>
        <v>-8.3299999999999841</v>
      </c>
      <c r="W31" s="34">
        <f>U23-U18</f>
        <v>-5.0000000000096634E-3</v>
      </c>
      <c r="X31">
        <f>SUM(T31:W31)</f>
        <v>0</v>
      </c>
      <c r="Y31" s="98" t="s">
        <v>9</v>
      </c>
      <c r="Z31">
        <v>91.664999999999992</v>
      </c>
      <c r="AA31">
        <f>AB8-AB3</f>
        <v>-33.334999999999994</v>
      </c>
      <c r="AB31">
        <f>AB13-AB8</f>
        <v>25.00500000000001</v>
      </c>
      <c r="AC31">
        <f>AB18-AB13</f>
        <v>0</v>
      </c>
      <c r="AD31">
        <f>AB23-AB18</f>
        <v>-41.670000000000009</v>
      </c>
      <c r="AE31">
        <f>SUM(AA31:AD31)</f>
        <v>-49.999999999999993</v>
      </c>
    </row>
    <row r="32" spans="1:31" x14ac:dyDescent="0.25">
      <c r="B32" s="98" t="s">
        <v>10</v>
      </c>
      <c r="C32" s="99">
        <v>100</v>
      </c>
      <c r="D32" s="34">
        <f t="shared" ref="D32:D35" si="5">H9-C32</f>
        <v>0</v>
      </c>
      <c r="E32" s="34">
        <f t="shared" ref="E32:E35" si="6">H14-H9</f>
        <v>0</v>
      </c>
      <c r="F32" s="34">
        <f t="shared" ref="F32:F35" si="7">H19-H14</f>
        <v>0</v>
      </c>
      <c r="G32" s="34">
        <f t="shared" ref="G32:G35" si="8">H24-H19</f>
        <v>-1</v>
      </c>
      <c r="H32">
        <f t="shared" ref="H32:H35" si="9">SUM(D32:G32)</f>
        <v>-1</v>
      </c>
      <c r="K32" s="98" t="s">
        <v>10</v>
      </c>
      <c r="L32" s="34">
        <v>100</v>
      </c>
      <c r="M32" s="34">
        <f t="shared" ref="M32:M35" si="10">O9-O4</f>
        <v>0</v>
      </c>
      <c r="N32" s="34">
        <f t="shared" ref="N32:N35" si="11">O14-O9</f>
        <v>0</v>
      </c>
      <c r="O32" s="34">
        <f t="shared" ref="O32:O35" si="12">O19-O14</f>
        <v>0</v>
      </c>
      <c r="P32" s="34">
        <f t="shared" ref="P32:P35" si="13">O24-O19</f>
        <v>-3.3333333333333286</v>
      </c>
      <c r="Q32">
        <f t="shared" ref="Q32:Q35" si="14">SUM(M32:P32)</f>
        <v>-3.3333333333333286</v>
      </c>
      <c r="R32" s="98" t="s">
        <v>10</v>
      </c>
      <c r="S32" s="34">
        <v>100</v>
      </c>
      <c r="T32" s="34">
        <f t="shared" ref="T32:T35" si="15">U9-U4</f>
        <v>0</v>
      </c>
      <c r="U32" s="34">
        <f t="shared" ref="U32:U35" si="16">U14-U9</f>
        <v>0</v>
      </c>
      <c r="V32" s="34">
        <f t="shared" ref="V32:V35" si="17">U19-U14</f>
        <v>0</v>
      </c>
      <c r="W32" s="34">
        <f t="shared" ref="W32:W35" si="18">U24-U19</f>
        <v>0</v>
      </c>
      <c r="X32">
        <f t="shared" ref="X32:X35" si="19">SUM(T32:W32)</f>
        <v>0</v>
      </c>
      <c r="Y32" s="98" t="s">
        <v>10</v>
      </c>
      <c r="Z32">
        <v>100</v>
      </c>
      <c r="AA32">
        <f t="shared" ref="AA32:AA35" si="20">AB9-AB4</f>
        <v>0</v>
      </c>
      <c r="AB32">
        <f t="shared" ref="AB32:AB35" si="21">AB14-AB9</f>
        <v>0</v>
      </c>
      <c r="AC32">
        <f t="shared" ref="AC32:AC35" si="22">AB19-AB14</f>
        <v>0</v>
      </c>
      <c r="AD32">
        <f t="shared" ref="AD32:AD35" si="23">AB24-AB19</f>
        <v>0</v>
      </c>
      <c r="AE32">
        <f t="shared" ref="AE32:AE35" si="24">SUM(AA32:AD32)</f>
        <v>0</v>
      </c>
    </row>
    <row r="33" spans="2:31" x14ac:dyDescent="0.25">
      <c r="B33" s="98" t="s">
        <v>11</v>
      </c>
      <c r="C33" s="99">
        <v>81</v>
      </c>
      <c r="D33" s="34">
        <f t="shared" si="5"/>
        <v>-14</v>
      </c>
      <c r="E33" s="34">
        <f t="shared" si="6"/>
        <v>0</v>
      </c>
      <c r="F33" s="34">
        <f t="shared" si="7"/>
        <v>-11</v>
      </c>
      <c r="G33" s="34">
        <f t="shared" si="8"/>
        <v>-8</v>
      </c>
      <c r="H33">
        <f t="shared" si="9"/>
        <v>-33</v>
      </c>
      <c r="K33" s="98" t="s">
        <v>11</v>
      </c>
      <c r="L33" s="34">
        <v>96.666666666666671</v>
      </c>
      <c r="M33" s="34">
        <f t="shared" si="10"/>
        <v>1.6666666666666572</v>
      </c>
      <c r="N33" s="34">
        <f t="shared" si="11"/>
        <v>1.6666666666666714</v>
      </c>
      <c r="O33" s="34">
        <f t="shared" si="12"/>
        <v>-6.6666666666666714</v>
      </c>
      <c r="P33" s="34">
        <f t="shared" si="13"/>
        <v>-5</v>
      </c>
      <c r="Q33">
        <f t="shared" si="14"/>
        <v>-8.3333333333333428</v>
      </c>
      <c r="R33" s="98" t="s">
        <v>11</v>
      </c>
      <c r="S33" s="34">
        <v>41.664999999999999</v>
      </c>
      <c r="T33" s="34">
        <f t="shared" si="15"/>
        <v>0</v>
      </c>
      <c r="U33" s="34">
        <f t="shared" si="16"/>
        <v>-16.664999999999999</v>
      </c>
      <c r="V33" s="34">
        <f t="shared" si="17"/>
        <v>16.664999999999999</v>
      </c>
      <c r="W33" s="34">
        <f t="shared" si="18"/>
        <v>-16.664999999999999</v>
      </c>
      <c r="X33">
        <f t="shared" si="19"/>
        <v>-16.664999999999999</v>
      </c>
      <c r="Y33" s="98" t="s">
        <v>11</v>
      </c>
      <c r="Z33">
        <v>75</v>
      </c>
      <c r="AA33">
        <f t="shared" si="20"/>
        <v>-41.664999999999999</v>
      </c>
      <c r="AB33">
        <f t="shared" si="21"/>
        <v>25</v>
      </c>
      <c r="AC33">
        <f t="shared" si="22"/>
        <v>-8.3350000000000009</v>
      </c>
      <c r="AD33">
        <f t="shared" si="23"/>
        <v>-25</v>
      </c>
      <c r="AE33">
        <f t="shared" si="24"/>
        <v>-50</v>
      </c>
    </row>
    <row r="34" spans="2:31" x14ac:dyDescent="0.25">
      <c r="B34" s="98" t="s">
        <v>12</v>
      </c>
      <c r="C34" s="99">
        <v>96</v>
      </c>
      <c r="D34" s="34">
        <f t="shared" si="5"/>
        <v>4</v>
      </c>
      <c r="E34" s="34">
        <f t="shared" si="6"/>
        <v>-2</v>
      </c>
      <c r="F34" s="34">
        <f t="shared" si="7"/>
        <v>-2</v>
      </c>
      <c r="G34" s="34">
        <f t="shared" si="8"/>
        <v>-8</v>
      </c>
      <c r="H34">
        <f t="shared" si="9"/>
        <v>-8</v>
      </c>
      <c r="K34" s="98" t="s">
        <v>12</v>
      </c>
      <c r="L34" s="34">
        <v>100</v>
      </c>
      <c r="M34" s="34">
        <f t="shared" si="10"/>
        <v>-8.3333333333333286</v>
      </c>
      <c r="N34" s="34">
        <f t="shared" si="11"/>
        <v>8.3333333333333286</v>
      </c>
      <c r="O34" s="34">
        <f t="shared" si="12"/>
        <v>0</v>
      </c>
      <c r="P34" s="34">
        <f t="shared" si="13"/>
        <v>0</v>
      </c>
      <c r="Q34">
        <f t="shared" si="14"/>
        <v>0</v>
      </c>
      <c r="R34" s="98" t="s">
        <v>12</v>
      </c>
      <c r="S34" s="34">
        <v>75</v>
      </c>
      <c r="T34" s="34">
        <f t="shared" si="15"/>
        <v>8.335000000000008</v>
      </c>
      <c r="U34" s="34">
        <f t="shared" si="16"/>
        <v>-5.0000000000096634E-3</v>
      </c>
      <c r="V34" s="34">
        <f t="shared" si="17"/>
        <v>-24.994999999999997</v>
      </c>
      <c r="W34" s="34">
        <f t="shared" si="18"/>
        <v>8.3299999999999912</v>
      </c>
      <c r="X34">
        <f t="shared" si="19"/>
        <v>-8.335000000000008</v>
      </c>
      <c r="Y34" s="98" t="s">
        <v>12</v>
      </c>
      <c r="Z34">
        <v>91.664999999999992</v>
      </c>
      <c r="AA34">
        <f t="shared" si="20"/>
        <v>8.335000000000008</v>
      </c>
      <c r="AB34">
        <f t="shared" si="21"/>
        <v>-16.670000000000002</v>
      </c>
      <c r="AC34">
        <f t="shared" si="22"/>
        <v>8.3349999999999937</v>
      </c>
      <c r="AD34">
        <f t="shared" si="23"/>
        <v>-33.329999999999991</v>
      </c>
      <c r="AE34">
        <f t="shared" si="24"/>
        <v>-33.329999999999991</v>
      </c>
    </row>
    <row r="35" spans="2:31" x14ac:dyDescent="0.25">
      <c r="B35" s="98" t="s">
        <v>13</v>
      </c>
      <c r="C35" s="99">
        <v>100</v>
      </c>
      <c r="D35" s="34">
        <f t="shared" si="5"/>
        <v>0</v>
      </c>
      <c r="E35" s="34">
        <f t="shared" si="6"/>
        <v>0</v>
      </c>
      <c r="F35" s="34">
        <f t="shared" si="7"/>
        <v>-1</v>
      </c>
      <c r="G35" s="34">
        <f t="shared" si="8"/>
        <v>1</v>
      </c>
      <c r="H35">
        <f t="shared" si="9"/>
        <v>0</v>
      </c>
      <c r="K35" s="98" t="s">
        <v>13</v>
      </c>
      <c r="L35" s="34">
        <v>100</v>
      </c>
      <c r="M35" s="34">
        <f t="shared" si="10"/>
        <v>-1.6666666666666714</v>
      </c>
      <c r="N35" s="34">
        <f t="shared" si="11"/>
        <v>0</v>
      </c>
      <c r="O35" s="34">
        <f t="shared" si="12"/>
        <v>1.6666666666666714</v>
      </c>
      <c r="P35" s="34">
        <f t="shared" si="13"/>
        <v>0</v>
      </c>
      <c r="Q35">
        <f t="shared" si="14"/>
        <v>0</v>
      </c>
      <c r="R35" s="98" t="s">
        <v>13</v>
      </c>
      <c r="S35" s="34">
        <v>100</v>
      </c>
      <c r="T35" s="34">
        <f t="shared" si="15"/>
        <v>0</v>
      </c>
      <c r="U35" s="34">
        <f t="shared" si="16"/>
        <v>0</v>
      </c>
      <c r="V35" s="34">
        <f t="shared" si="17"/>
        <v>0</v>
      </c>
      <c r="W35" s="34">
        <f t="shared" si="18"/>
        <v>0</v>
      </c>
      <c r="X35">
        <f t="shared" si="19"/>
        <v>0</v>
      </c>
      <c r="Y35" s="98" t="s">
        <v>13</v>
      </c>
      <c r="Z35">
        <v>83.335000000000008</v>
      </c>
      <c r="AA35">
        <f t="shared" si="20"/>
        <v>16.664999999999992</v>
      </c>
      <c r="AB35">
        <f t="shared" si="21"/>
        <v>0</v>
      </c>
      <c r="AC35">
        <f t="shared" si="22"/>
        <v>0</v>
      </c>
      <c r="AD35">
        <f t="shared" si="23"/>
        <v>-8.335000000000008</v>
      </c>
      <c r="AE35">
        <f t="shared" si="24"/>
        <v>8.3299999999999841</v>
      </c>
    </row>
    <row r="38" spans="2:31" x14ac:dyDescent="0.25">
      <c r="B38" s="49" t="s">
        <v>65</v>
      </c>
    </row>
    <row r="39" spans="2:31" x14ac:dyDescent="0.25">
      <c r="B39" s="100" t="s">
        <v>1</v>
      </c>
      <c r="C39" t="s">
        <v>66</v>
      </c>
      <c r="E39" s="100" t="s">
        <v>1</v>
      </c>
      <c r="F39" t="s">
        <v>62</v>
      </c>
      <c r="G39" t="s">
        <v>69</v>
      </c>
      <c r="H39" t="s">
        <v>63</v>
      </c>
      <c r="I39" t="s">
        <v>64</v>
      </c>
    </row>
    <row r="40" spans="2:31" x14ac:dyDescent="0.25">
      <c r="B40" s="98" t="s">
        <v>9</v>
      </c>
      <c r="C40">
        <f>100*(H31+Q31+X31+AE31)/400</f>
        <v>-46.5</v>
      </c>
      <c r="E40" s="98" t="s">
        <v>9</v>
      </c>
      <c r="F40">
        <v>-86</v>
      </c>
      <c r="G40">
        <v>-49.999999999999993</v>
      </c>
      <c r="H40">
        <v>0</v>
      </c>
      <c r="I40">
        <v>-49.999999999999993</v>
      </c>
      <c r="J40">
        <f>SUM(F40:I40)/4</f>
        <v>-46.5</v>
      </c>
    </row>
    <row r="41" spans="2:31" x14ac:dyDescent="0.25">
      <c r="B41" s="98" t="s">
        <v>10</v>
      </c>
      <c r="C41">
        <f t="shared" ref="C41:C44" si="25">100*(H32+Q32+X32+AE32)/400</f>
        <v>-1.0833333333333321</v>
      </c>
      <c r="E41" s="98" t="s">
        <v>10</v>
      </c>
      <c r="F41">
        <v>-1</v>
      </c>
      <c r="G41">
        <v>-3.3333333333333286</v>
      </c>
      <c r="H41">
        <v>0</v>
      </c>
      <c r="I41">
        <v>0</v>
      </c>
      <c r="J41">
        <f t="shared" ref="J41:J44" si="26">SUM(F41:I41)/4</f>
        <v>-1.0833333333333321</v>
      </c>
    </row>
    <row r="42" spans="2:31" x14ac:dyDescent="0.25">
      <c r="B42" s="98" t="s">
        <v>11</v>
      </c>
      <c r="C42">
        <f t="shared" si="25"/>
        <v>-26.999583333333334</v>
      </c>
      <c r="E42" s="98" t="s">
        <v>11</v>
      </c>
      <c r="F42">
        <v>-33</v>
      </c>
      <c r="G42">
        <v>-8.3333333333333428</v>
      </c>
      <c r="H42">
        <v>-16.664999999999999</v>
      </c>
      <c r="I42">
        <v>-50</v>
      </c>
      <c r="J42">
        <f t="shared" si="26"/>
        <v>-26.999583333333334</v>
      </c>
    </row>
    <row r="43" spans="2:31" x14ac:dyDescent="0.25">
      <c r="B43" s="98" t="s">
        <v>12</v>
      </c>
      <c r="C43">
        <f t="shared" si="25"/>
        <v>-12.41625</v>
      </c>
      <c r="E43" s="98" t="s">
        <v>12</v>
      </c>
      <c r="F43">
        <v>-8</v>
      </c>
      <c r="G43">
        <v>0</v>
      </c>
      <c r="H43">
        <v>-8.335000000000008</v>
      </c>
      <c r="I43">
        <v>-33.329999999999991</v>
      </c>
      <c r="J43">
        <f t="shared" si="26"/>
        <v>-12.41625</v>
      </c>
    </row>
    <row r="44" spans="2:31" x14ac:dyDescent="0.25">
      <c r="B44" s="98" t="s">
        <v>13</v>
      </c>
      <c r="C44">
        <f t="shared" si="25"/>
        <v>2.082499999999996</v>
      </c>
      <c r="E44" s="98" t="s">
        <v>13</v>
      </c>
      <c r="F44">
        <v>0</v>
      </c>
      <c r="G44">
        <v>0</v>
      </c>
      <c r="H44">
        <v>0</v>
      </c>
      <c r="I44">
        <v>8.3299999999999841</v>
      </c>
      <c r="J44">
        <f t="shared" si="26"/>
        <v>2.082499999999996</v>
      </c>
    </row>
    <row r="47" spans="2:31" x14ac:dyDescent="0.25">
      <c r="F47" t="s">
        <v>70</v>
      </c>
      <c r="G47">
        <v>8</v>
      </c>
    </row>
    <row r="48" spans="2:31" x14ac:dyDescent="0.25">
      <c r="F48" t="s">
        <v>48</v>
      </c>
      <c r="G48">
        <v>20</v>
      </c>
    </row>
    <row r="49" spans="7:7" x14ac:dyDescent="0.25">
      <c r="G49">
        <f>G47/G48</f>
        <v>0.4</v>
      </c>
    </row>
  </sheetData>
  <mergeCells count="24">
    <mergeCell ref="A18:A22"/>
    <mergeCell ref="J18:J22"/>
    <mergeCell ref="Q18:Q22"/>
    <mergeCell ref="X18:X22"/>
    <mergeCell ref="A23:A27"/>
    <mergeCell ref="J23:J27"/>
    <mergeCell ref="Q23:Q27"/>
    <mergeCell ref="X23:X27"/>
    <mergeCell ref="A8:A12"/>
    <mergeCell ref="J8:J12"/>
    <mergeCell ref="Q8:Q12"/>
    <mergeCell ref="X8:X12"/>
    <mergeCell ref="A13:A17"/>
    <mergeCell ref="J13:J17"/>
    <mergeCell ref="Q13:Q17"/>
    <mergeCell ref="X13:X17"/>
    <mergeCell ref="B1:H1"/>
    <mergeCell ref="K1:O1"/>
    <mergeCell ref="R1:U1"/>
    <mergeCell ref="Y1:AB1"/>
    <mergeCell ref="A3:A7"/>
    <mergeCell ref="J3:J7"/>
    <mergeCell ref="Q3:Q7"/>
    <mergeCell ref="X3:X7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53703-E7E3-4823-BABD-2F4BD4BCB8A1}">
  <dimension ref="A1:O36"/>
  <sheetViews>
    <sheetView tabSelected="1" workbookViewId="0">
      <selection activeCell="Q23" sqref="Q23"/>
    </sheetView>
  </sheetViews>
  <sheetFormatPr baseColWidth="10" defaultRowHeight="15" x14ac:dyDescent="0.25"/>
  <cols>
    <col min="2" max="2" width="11.7109375" bestFit="1" customWidth="1"/>
  </cols>
  <sheetData>
    <row r="1" spans="1:14" ht="15.75" thickBot="1" x14ac:dyDescent="0.3">
      <c r="A1" t="s">
        <v>74</v>
      </c>
    </row>
    <row r="2" spans="1:14" ht="15.75" thickBot="1" x14ac:dyDescent="0.3">
      <c r="B2" s="145" t="s">
        <v>62</v>
      </c>
      <c r="C2" s="146"/>
      <c r="D2" s="147"/>
      <c r="E2" s="145" t="s">
        <v>69</v>
      </c>
      <c r="F2" s="146"/>
      <c r="G2" s="147"/>
      <c r="H2" s="145" t="s">
        <v>54</v>
      </c>
      <c r="I2" s="146"/>
      <c r="J2" s="147"/>
      <c r="K2" s="145" t="s">
        <v>64</v>
      </c>
      <c r="L2" s="146"/>
      <c r="M2" s="147"/>
      <c r="N2" t="s">
        <v>76</v>
      </c>
    </row>
    <row r="3" spans="1:14" ht="15.75" thickBot="1" x14ac:dyDescent="0.3">
      <c r="B3" s="2" t="s">
        <v>71</v>
      </c>
      <c r="C3" s="3" t="s">
        <v>72</v>
      </c>
      <c r="D3" s="53" t="s">
        <v>73</v>
      </c>
      <c r="E3" s="2" t="s">
        <v>71</v>
      </c>
      <c r="F3" s="3" t="s">
        <v>72</v>
      </c>
      <c r="G3" s="53" t="s">
        <v>73</v>
      </c>
      <c r="H3" s="106" t="s">
        <v>71</v>
      </c>
      <c r="I3" s="104" t="s">
        <v>72</v>
      </c>
      <c r="J3" s="107" t="s">
        <v>73</v>
      </c>
      <c r="K3" s="47" t="s">
        <v>71</v>
      </c>
      <c r="L3" s="32" t="s">
        <v>72</v>
      </c>
      <c r="M3" s="108" t="s">
        <v>73</v>
      </c>
    </row>
    <row r="4" spans="1:14" x14ac:dyDescent="0.25">
      <c r="A4" s="105" t="s">
        <v>9</v>
      </c>
      <c r="B4" s="129">
        <v>88.888888888888886</v>
      </c>
      <c r="C4" s="130">
        <v>84.558823529411768</v>
      </c>
      <c r="D4" s="131">
        <v>99.130434782608702</v>
      </c>
      <c r="E4" s="129">
        <v>44.166666666666664</v>
      </c>
      <c r="F4" s="130">
        <v>86.79245283018868</v>
      </c>
      <c r="G4" s="132">
        <v>100</v>
      </c>
      <c r="H4" s="113">
        <v>52.941176470588232</v>
      </c>
      <c r="I4" s="114">
        <v>100</v>
      </c>
      <c r="J4" s="115">
        <v>100</v>
      </c>
      <c r="K4" s="113">
        <v>94.736842105263165</v>
      </c>
      <c r="L4" s="114">
        <v>100</v>
      </c>
      <c r="M4" s="116">
        <v>100</v>
      </c>
      <c r="N4" s="134">
        <f>SUM(B4:M4)</f>
        <v>1051.215285273616</v>
      </c>
    </row>
    <row r="5" spans="1:14" x14ac:dyDescent="0.25">
      <c r="A5" s="24" t="s">
        <v>10</v>
      </c>
      <c r="B5" s="109">
        <v>100</v>
      </c>
      <c r="C5" s="110">
        <v>20</v>
      </c>
      <c r="D5" s="111">
        <v>100</v>
      </c>
      <c r="E5" s="109">
        <v>50</v>
      </c>
      <c r="F5" s="110">
        <v>66.666666666666671</v>
      </c>
      <c r="G5" s="112">
        <v>100</v>
      </c>
      <c r="H5" s="117">
        <v>0</v>
      </c>
      <c r="I5" s="118">
        <v>0</v>
      </c>
      <c r="J5" s="119">
        <v>0</v>
      </c>
      <c r="K5" s="117">
        <v>0</v>
      </c>
      <c r="L5" s="118">
        <v>0</v>
      </c>
      <c r="M5" s="120">
        <v>0</v>
      </c>
      <c r="N5" s="134">
        <f t="shared" ref="N5:N8" si="0">SUM(B5:M5)</f>
        <v>436.66666666666669</v>
      </c>
    </row>
    <row r="6" spans="1:14" x14ac:dyDescent="0.25">
      <c r="A6" s="24" t="s">
        <v>11</v>
      </c>
      <c r="B6" s="109">
        <v>63</v>
      </c>
      <c r="C6" s="110">
        <v>75.555555555555557</v>
      </c>
      <c r="D6" s="111">
        <v>75.210084033613441</v>
      </c>
      <c r="E6" s="109">
        <v>36.040609137055839</v>
      </c>
      <c r="F6" s="110">
        <v>29.577464788732396</v>
      </c>
      <c r="G6" s="112">
        <v>66.666666666666671</v>
      </c>
      <c r="H6" s="117">
        <v>97.5</v>
      </c>
      <c r="I6" s="118">
        <v>100</v>
      </c>
      <c r="J6" s="119">
        <v>100</v>
      </c>
      <c r="K6" s="117">
        <v>86.84210526315789</v>
      </c>
      <c r="L6" s="118">
        <v>93.939393939393938</v>
      </c>
      <c r="M6" s="120">
        <v>93.548387096774192</v>
      </c>
      <c r="N6" s="134">
        <f t="shared" si="0"/>
        <v>917.88026648095001</v>
      </c>
    </row>
    <row r="7" spans="1:14" x14ac:dyDescent="0.25">
      <c r="A7" s="25" t="s">
        <v>12</v>
      </c>
      <c r="B7" s="109">
        <v>47.474747474747474</v>
      </c>
      <c r="C7" s="110">
        <v>51.063829787234042</v>
      </c>
      <c r="D7" s="111">
        <v>91.666666666666671</v>
      </c>
      <c r="E7" s="109">
        <v>17.52577319587629</v>
      </c>
      <c r="F7" s="110">
        <v>29.411764705882351</v>
      </c>
      <c r="G7" s="112">
        <v>100</v>
      </c>
      <c r="H7" s="117">
        <v>94.117647058823536</v>
      </c>
      <c r="I7" s="118">
        <v>100</v>
      </c>
      <c r="J7" s="119">
        <v>100</v>
      </c>
      <c r="K7" s="117">
        <v>83.333333333333329</v>
      </c>
      <c r="L7" s="118">
        <v>90</v>
      </c>
      <c r="M7" s="120">
        <v>88.888888888888886</v>
      </c>
      <c r="N7" s="134">
        <f t="shared" si="0"/>
        <v>893.4826511114527</v>
      </c>
    </row>
    <row r="8" spans="1:14" ht="15.75" thickBot="1" x14ac:dyDescent="0.3">
      <c r="A8" s="26" t="s">
        <v>13</v>
      </c>
      <c r="B8" s="121">
        <v>100</v>
      </c>
      <c r="C8" s="122">
        <v>40</v>
      </c>
      <c r="D8" s="123">
        <v>50</v>
      </c>
      <c r="E8" s="121">
        <v>50</v>
      </c>
      <c r="F8" s="122">
        <v>100</v>
      </c>
      <c r="G8" s="124">
        <v>66.666666666666671</v>
      </c>
      <c r="H8" s="125">
        <v>0</v>
      </c>
      <c r="I8" s="126">
        <v>0</v>
      </c>
      <c r="J8" s="127">
        <v>0</v>
      </c>
      <c r="K8" s="125">
        <v>100</v>
      </c>
      <c r="L8" s="126">
        <v>100</v>
      </c>
      <c r="M8" s="128">
        <v>100</v>
      </c>
      <c r="N8" s="134">
        <f t="shared" si="0"/>
        <v>706.66666666666674</v>
      </c>
    </row>
    <row r="10" spans="1:14" x14ac:dyDescent="0.25">
      <c r="A10" s="49" t="s">
        <v>75</v>
      </c>
      <c r="B10" s="134">
        <f>SUM(B4:B8)</f>
        <v>399.36363636363637</v>
      </c>
      <c r="C10" s="134">
        <f t="shared" ref="C10:M10" si="1">SUM(C4:C8)</f>
        <v>271.17820887220137</v>
      </c>
      <c r="D10" s="134">
        <f t="shared" si="1"/>
        <v>416.00718548288881</v>
      </c>
      <c r="E10" s="134">
        <f t="shared" si="1"/>
        <v>197.73304899959879</v>
      </c>
      <c r="F10" s="134">
        <f t="shared" si="1"/>
        <v>312.44834899147008</v>
      </c>
      <c r="G10" s="134">
        <f t="shared" si="1"/>
        <v>433.33333333333337</v>
      </c>
      <c r="H10" s="134">
        <f t="shared" si="1"/>
        <v>244.55882352941177</v>
      </c>
      <c r="I10" s="134">
        <f t="shared" si="1"/>
        <v>300</v>
      </c>
      <c r="J10" s="134">
        <f t="shared" si="1"/>
        <v>300</v>
      </c>
      <c r="K10" s="134">
        <f t="shared" si="1"/>
        <v>364.91228070175436</v>
      </c>
      <c r="L10" s="134">
        <f t="shared" si="1"/>
        <v>383.93939393939394</v>
      </c>
      <c r="M10" s="134">
        <f t="shared" si="1"/>
        <v>382.43727598566306</v>
      </c>
    </row>
    <row r="12" spans="1:14" x14ac:dyDescent="0.25">
      <c r="A12" s="49" t="s">
        <v>75</v>
      </c>
      <c r="B12" s="134">
        <f>SUM(B10:D10)</f>
        <v>1086.5490307187265</v>
      </c>
      <c r="E12" s="134">
        <f>SUM(E10:G10)</f>
        <v>943.51473132440219</v>
      </c>
      <c r="H12" s="134">
        <f>SUM(H10:J10)</f>
        <v>844.55882352941171</v>
      </c>
      <c r="K12" s="134">
        <f>SUM(K10:M10)</f>
        <v>1131.2889506268114</v>
      </c>
    </row>
    <row r="15" spans="1:14" ht="15.75" thickBot="1" x14ac:dyDescent="0.3">
      <c r="A15" t="s">
        <v>77</v>
      </c>
    </row>
    <row r="16" spans="1:14" ht="15.75" thickBot="1" x14ac:dyDescent="0.3">
      <c r="B16" s="145" t="s">
        <v>62</v>
      </c>
      <c r="C16" s="146"/>
      <c r="D16" s="147"/>
      <c r="E16" s="145" t="s">
        <v>69</v>
      </c>
      <c r="F16" s="146"/>
      <c r="G16" s="147"/>
      <c r="H16" s="145" t="s">
        <v>54</v>
      </c>
      <c r="I16" s="146"/>
      <c r="J16" s="147"/>
      <c r="K16" s="145" t="s">
        <v>64</v>
      </c>
      <c r="L16" s="146"/>
      <c r="M16" s="147"/>
    </row>
    <row r="17" spans="1:15" ht="15.75" thickBot="1" x14ac:dyDescent="0.3">
      <c r="B17" s="47" t="s">
        <v>71</v>
      </c>
      <c r="C17" s="32" t="s">
        <v>72</v>
      </c>
      <c r="D17" s="108" t="s">
        <v>73</v>
      </c>
      <c r="E17" s="47" t="s">
        <v>71</v>
      </c>
      <c r="F17" s="32" t="s">
        <v>72</v>
      </c>
      <c r="G17" s="108" t="s">
        <v>73</v>
      </c>
      <c r="H17" s="106" t="s">
        <v>71</v>
      </c>
      <c r="I17" s="104" t="s">
        <v>72</v>
      </c>
      <c r="J17" s="107" t="s">
        <v>73</v>
      </c>
      <c r="K17" s="47" t="s">
        <v>71</v>
      </c>
      <c r="L17" s="32" t="s">
        <v>72</v>
      </c>
      <c r="M17" s="108" t="s">
        <v>73</v>
      </c>
    </row>
    <row r="18" spans="1:15" x14ac:dyDescent="0.25">
      <c r="A18" s="105" t="s">
        <v>9</v>
      </c>
      <c r="B18" s="34">
        <v>136</v>
      </c>
      <c r="C18" s="34">
        <v>115</v>
      </c>
      <c r="D18" s="34">
        <v>114</v>
      </c>
      <c r="E18" s="34">
        <v>53</v>
      </c>
      <c r="F18" s="34">
        <v>46</v>
      </c>
      <c r="G18" s="34">
        <v>46</v>
      </c>
      <c r="H18" s="34">
        <v>9</v>
      </c>
      <c r="I18" s="34">
        <v>9</v>
      </c>
      <c r="J18" s="34">
        <v>9</v>
      </c>
      <c r="K18" s="34">
        <v>18</v>
      </c>
      <c r="L18" s="34">
        <v>18</v>
      </c>
      <c r="M18" s="34">
        <v>18</v>
      </c>
      <c r="N18">
        <f>SUM(B18:M18)</f>
        <v>591</v>
      </c>
      <c r="O18">
        <f>100*N18/N30</f>
        <v>82.889200561009815</v>
      </c>
    </row>
    <row r="19" spans="1:15" x14ac:dyDescent="0.25">
      <c r="A19" s="24" t="s">
        <v>10</v>
      </c>
      <c r="B19" s="34">
        <v>5</v>
      </c>
      <c r="C19" s="34">
        <v>1</v>
      </c>
      <c r="D19" s="34">
        <v>1</v>
      </c>
      <c r="E19" s="34">
        <v>3</v>
      </c>
      <c r="F19" s="34">
        <v>2</v>
      </c>
      <c r="G19" s="34">
        <v>2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>
        <f t="shared" ref="N19:N22" si="2">SUM(B19:M19)</f>
        <v>14</v>
      </c>
      <c r="O19">
        <f>100*N19/N31</f>
        <v>53.846153846153847</v>
      </c>
    </row>
    <row r="20" spans="1:15" x14ac:dyDescent="0.25">
      <c r="A20" s="24" t="s">
        <v>11</v>
      </c>
      <c r="B20" s="34">
        <v>315</v>
      </c>
      <c r="C20" s="34">
        <v>238</v>
      </c>
      <c r="D20" s="34">
        <v>179</v>
      </c>
      <c r="E20" s="34">
        <v>71</v>
      </c>
      <c r="F20" s="34">
        <v>21</v>
      </c>
      <c r="G20" s="34">
        <v>14</v>
      </c>
      <c r="H20" s="34">
        <v>39</v>
      </c>
      <c r="I20" s="34">
        <v>39</v>
      </c>
      <c r="J20" s="34">
        <v>39</v>
      </c>
      <c r="K20" s="34">
        <v>33</v>
      </c>
      <c r="L20" s="34">
        <v>31</v>
      </c>
      <c r="M20" s="34">
        <v>29</v>
      </c>
      <c r="N20">
        <f t="shared" si="2"/>
        <v>1048</v>
      </c>
      <c r="O20">
        <f>100*N20/N32</f>
        <v>67.093469910371326</v>
      </c>
    </row>
    <row r="21" spans="1:15" x14ac:dyDescent="0.25">
      <c r="A21" s="25" t="s">
        <v>12</v>
      </c>
      <c r="B21" s="34">
        <v>47</v>
      </c>
      <c r="C21" s="34">
        <v>24</v>
      </c>
      <c r="D21" s="34">
        <v>22</v>
      </c>
      <c r="E21" s="34">
        <v>17</v>
      </c>
      <c r="F21" s="34">
        <v>5</v>
      </c>
      <c r="G21" s="34">
        <v>5</v>
      </c>
      <c r="H21" s="34">
        <v>16</v>
      </c>
      <c r="I21" s="34">
        <v>16</v>
      </c>
      <c r="J21" s="34">
        <v>16</v>
      </c>
      <c r="K21" s="34">
        <v>10</v>
      </c>
      <c r="L21" s="34">
        <v>9</v>
      </c>
      <c r="M21" s="34">
        <v>8</v>
      </c>
      <c r="N21">
        <f t="shared" si="2"/>
        <v>195</v>
      </c>
      <c r="O21">
        <f>100*N21/N33</f>
        <v>52.845528455284551</v>
      </c>
    </row>
    <row r="22" spans="1:15" ht="15.75" thickBot="1" x14ac:dyDescent="0.3">
      <c r="A22" s="26" t="s">
        <v>13</v>
      </c>
      <c r="B22" s="34">
        <v>5</v>
      </c>
      <c r="C22" s="34">
        <v>2</v>
      </c>
      <c r="D22" s="34">
        <v>1</v>
      </c>
      <c r="E22" s="34">
        <v>3</v>
      </c>
      <c r="F22" s="34">
        <v>3</v>
      </c>
      <c r="G22" s="34">
        <v>2</v>
      </c>
      <c r="H22" s="34">
        <v>0</v>
      </c>
      <c r="I22" s="34">
        <v>0</v>
      </c>
      <c r="J22" s="34">
        <v>0</v>
      </c>
      <c r="K22" s="34">
        <v>3</v>
      </c>
      <c r="L22" s="34">
        <v>3</v>
      </c>
      <c r="M22" s="34">
        <v>3</v>
      </c>
      <c r="N22">
        <f t="shared" si="2"/>
        <v>25</v>
      </c>
      <c r="O22">
        <f>100*N22/N34</f>
        <v>71.428571428571431</v>
      </c>
    </row>
    <row r="23" spans="1:15" x14ac:dyDescent="0.25">
      <c r="A23" s="135" t="s">
        <v>48</v>
      </c>
      <c r="B23">
        <f>SUM(B18:B22)</f>
        <v>508</v>
      </c>
      <c r="C23">
        <f t="shared" ref="C23:M23" si="3">SUM(C18:C22)</f>
        <v>380</v>
      </c>
      <c r="D23">
        <f t="shared" si="3"/>
        <v>317</v>
      </c>
      <c r="E23">
        <f t="shared" si="3"/>
        <v>147</v>
      </c>
      <c r="F23">
        <f t="shared" si="3"/>
        <v>77</v>
      </c>
      <c r="G23">
        <f t="shared" si="3"/>
        <v>69</v>
      </c>
      <c r="H23">
        <f t="shared" si="3"/>
        <v>64</v>
      </c>
      <c r="I23">
        <f t="shared" si="3"/>
        <v>64</v>
      </c>
      <c r="J23">
        <f t="shared" si="3"/>
        <v>64</v>
      </c>
      <c r="K23">
        <f t="shared" si="3"/>
        <v>64</v>
      </c>
      <c r="L23">
        <f t="shared" si="3"/>
        <v>61</v>
      </c>
      <c r="M23">
        <f t="shared" si="3"/>
        <v>58</v>
      </c>
      <c r="N23">
        <f>SUM(B23:M23)</f>
        <v>1873</v>
      </c>
    </row>
    <row r="24" spans="1:15" x14ac:dyDescent="0.25">
      <c r="A24" s="135" t="s">
        <v>79</v>
      </c>
      <c r="B24">
        <f>100*B23/B35</f>
        <v>66.666666666666671</v>
      </c>
      <c r="C24">
        <f t="shared" ref="C24:M24" si="4">100*C23/C35</f>
        <v>74.803149606299215</v>
      </c>
      <c r="D24">
        <f t="shared" si="4"/>
        <v>83.421052631578945</v>
      </c>
      <c r="E24">
        <f t="shared" si="4"/>
        <v>34.507042253521128</v>
      </c>
      <c r="F24">
        <f t="shared" si="4"/>
        <v>52.38095238095238</v>
      </c>
      <c r="G24">
        <f t="shared" si="4"/>
        <v>89.610389610389603</v>
      </c>
      <c r="H24">
        <f t="shared" si="4"/>
        <v>82.051282051282058</v>
      </c>
      <c r="I24">
        <f t="shared" si="4"/>
        <v>100</v>
      </c>
      <c r="J24">
        <f t="shared" si="4"/>
        <v>100</v>
      </c>
      <c r="K24">
        <f t="shared" si="4"/>
        <v>86.486486486486484</v>
      </c>
      <c r="L24">
        <f t="shared" si="4"/>
        <v>95.3125</v>
      </c>
      <c r="M24">
        <f t="shared" si="4"/>
        <v>95.081967213114751</v>
      </c>
      <c r="N24">
        <f>100*N23/N35</f>
        <v>69.242144177449163</v>
      </c>
    </row>
    <row r="25" spans="1:15" x14ac:dyDescent="0.25">
      <c r="A25" s="135" t="s">
        <v>80</v>
      </c>
      <c r="B25">
        <f>SUM(B23:D23)</f>
        <v>1205</v>
      </c>
      <c r="E25">
        <f>SUM(E23:G23)</f>
        <v>293</v>
      </c>
      <c r="H25">
        <f>SUM(H23:J23)</f>
        <v>192</v>
      </c>
      <c r="K25">
        <f>SUM(K23:M23)</f>
        <v>183</v>
      </c>
    </row>
    <row r="26" spans="1:15" x14ac:dyDescent="0.25">
      <c r="A26" s="135" t="s">
        <v>79</v>
      </c>
      <c r="B26">
        <f>100*B25/B36</f>
        <v>73.030303030303031</v>
      </c>
      <c r="E26">
        <f>100*E25/E36</f>
        <v>45.07692307692308</v>
      </c>
      <c r="H26">
        <f>100*H25/H36</f>
        <v>93.203883495145632</v>
      </c>
      <c r="K26">
        <f>100*K25/K36</f>
        <v>91.959798994974875</v>
      </c>
    </row>
    <row r="27" spans="1:15" ht="15.75" thickBot="1" x14ac:dyDescent="0.3">
      <c r="A27" t="s">
        <v>78</v>
      </c>
    </row>
    <row r="28" spans="1:15" ht="15.75" thickBot="1" x14ac:dyDescent="0.3">
      <c r="B28" s="145" t="s">
        <v>62</v>
      </c>
      <c r="C28" s="146"/>
      <c r="D28" s="147"/>
      <c r="E28" s="145" t="s">
        <v>69</v>
      </c>
      <c r="F28" s="146"/>
      <c r="G28" s="147"/>
      <c r="H28" s="145" t="s">
        <v>54</v>
      </c>
      <c r="I28" s="146"/>
      <c r="J28" s="147"/>
      <c r="K28" s="145" t="s">
        <v>64</v>
      </c>
      <c r="L28" s="146"/>
      <c r="M28" s="147"/>
    </row>
    <row r="29" spans="1:15" ht="15.75" thickBot="1" x14ac:dyDescent="0.3">
      <c r="B29" s="47" t="s">
        <v>71</v>
      </c>
      <c r="C29" s="32" t="s">
        <v>72</v>
      </c>
      <c r="D29" s="108" t="s">
        <v>73</v>
      </c>
      <c r="E29" s="47" t="s">
        <v>71</v>
      </c>
      <c r="F29" s="32" t="s">
        <v>72</v>
      </c>
      <c r="G29" s="108" t="s">
        <v>73</v>
      </c>
      <c r="H29" s="106" t="s">
        <v>71</v>
      </c>
      <c r="I29" s="104" t="s">
        <v>72</v>
      </c>
      <c r="J29" s="107" t="s">
        <v>73</v>
      </c>
      <c r="K29" s="47" t="s">
        <v>71</v>
      </c>
      <c r="L29" s="32" t="s">
        <v>72</v>
      </c>
      <c r="M29" s="108" t="s">
        <v>73</v>
      </c>
    </row>
    <row r="30" spans="1:15" x14ac:dyDescent="0.25">
      <c r="A30" s="105" t="s">
        <v>9</v>
      </c>
      <c r="B30" s="34">
        <v>153</v>
      </c>
      <c r="C30" s="34">
        <v>136</v>
      </c>
      <c r="D30" s="34">
        <v>115</v>
      </c>
      <c r="E30" s="34">
        <v>120</v>
      </c>
      <c r="F30" s="34">
        <v>53</v>
      </c>
      <c r="G30" s="34">
        <v>46</v>
      </c>
      <c r="H30" s="34">
        <v>17</v>
      </c>
      <c r="I30" s="34">
        <v>9</v>
      </c>
      <c r="J30" s="34">
        <v>9</v>
      </c>
      <c r="K30" s="34">
        <v>19</v>
      </c>
      <c r="L30" s="34">
        <v>18</v>
      </c>
      <c r="M30" s="34">
        <v>18</v>
      </c>
      <c r="N30">
        <f>SUM(B30:M30)</f>
        <v>713</v>
      </c>
    </row>
    <row r="31" spans="1:15" x14ac:dyDescent="0.25">
      <c r="A31" s="24" t="s">
        <v>10</v>
      </c>
      <c r="B31" s="34">
        <v>5</v>
      </c>
      <c r="C31" s="34">
        <v>5</v>
      </c>
      <c r="D31" s="34">
        <v>1</v>
      </c>
      <c r="E31" s="34">
        <v>6</v>
      </c>
      <c r="F31" s="34">
        <v>3</v>
      </c>
      <c r="G31" s="34">
        <v>2</v>
      </c>
      <c r="H31" s="34">
        <v>2</v>
      </c>
      <c r="I31" s="34">
        <v>0</v>
      </c>
      <c r="J31" s="34">
        <v>0</v>
      </c>
      <c r="K31" s="34">
        <v>2</v>
      </c>
      <c r="L31" s="34">
        <v>0</v>
      </c>
      <c r="M31" s="34">
        <v>0</v>
      </c>
      <c r="N31">
        <f t="shared" ref="N31:N34" si="5">SUM(B31:M31)</f>
        <v>26</v>
      </c>
    </row>
    <row r="32" spans="1:15" x14ac:dyDescent="0.25">
      <c r="A32" s="24" t="s">
        <v>11</v>
      </c>
      <c r="B32" s="34">
        <v>500</v>
      </c>
      <c r="C32" s="34">
        <v>315</v>
      </c>
      <c r="D32" s="34">
        <v>238</v>
      </c>
      <c r="E32" s="34">
        <v>197</v>
      </c>
      <c r="F32" s="34">
        <v>71</v>
      </c>
      <c r="G32" s="34">
        <v>21</v>
      </c>
      <c r="H32" s="34">
        <v>40</v>
      </c>
      <c r="I32" s="34">
        <v>39</v>
      </c>
      <c r="J32" s="34">
        <v>39</v>
      </c>
      <c r="K32" s="34">
        <v>38</v>
      </c>
      <c r="L32" s="34">
        <v>33</v>
      </c>
      <c r="M32" s="34">
        <v>31</v>
      </c>
      <c r="N32">
        <f t="shared" si="5"/>
        <v>1562</v>
      </c>
    </row>
    <row r="33" spans="1:14" x14ac:dyDescent="0.25">
      <c r="A33" s="25" t="s">
        <v>12</v>
      </c>
      <c r="B33" s="34">
        <v>99</v>
      </c>
      <c r="C33" s="34">
        <v>47</v>
      </c>
      <c r="D33" s="34">
        <v>24</v>
      </c>
      <c r="E33" s="34">
        <v>97</v>
      </c>
      <c r="F33" s="34">
        <v>17</v>
      </c>
      <c r="G33" s="34">
        <v>5</v>
      </c>
      <c r="H33" s="34">
        <v>17</v>
      </c>
      <c r="I33" s="34">
        <v>16</v>
      </c>
      <c r="J33" s="34">
        <v>16</v>
      </c>
      <c r="K33" s="34">
        <v>12</v>
      </c>
      <c r="L33" s="34">
        <v>10</v>
      </c>
      <c r="M33" s="34">
        <v>9</v>
      </c>
      <c r="N33">
        <f t="shared" si="5"/>
        <v>369</v>
      </c>
    </row>
    <row r="34" spans="1:14" ht="15.75" thickBot="1" x14ac:dyDescent="0.3">
      <c r="A34" s="26" t="s">
        <v>13</v>
      </c>
      <c r="B34" s="34">
        <v>5</v>
      </c>
      <c r="C34" s="34">
        <v>5</v>
      </c>
      <c r="D34" s="34">
        <v>2</v>
      </c>
      <c r="E34" s="34">
        <v>6</v>
      </c>
      <c r="F34" s="34">
        <v>3</v>
      </c>
      <c r="G34" s="34">
        <v>3</v>
      </c>
      <c r="H34" s="34">
        <v>2</v>
      </c>
      <c r="I34" s="34">
        <v>0</v>
      </c>
      <c r="J34" s="34">
        <v>0</v>
      </c>
      <c r="K34" s="34">
        <v>3</v>
      </c>
      <c r="L34" s="34">
        <v>3</v>
      </c>
      <c r="M34" s="34">
        <v>3</v>
      </c>
      <c r="N34">
        <f t="shared" si="5"/>
        <v>35</v>
      </c>
    </row>
    <row r="35" spans="1:14" x14ac:dyDescent="0.25">
      <c r="A35" s="135" t="s">
        <v>48</v>
      </c>
      <c r="B35">
        <f>SUM(B30:B34)</f>
        <v>762</v>
      </c>
      <c r="C35">
        <f t="shared" ref="C35:M35" si="6">SUM(C30:C34)</f>
        <v>508</v>
      </c>
      <c r="D35">
        <f t="shared" si="6"/>
        <v>380</v>
      </c>
      <c r="E35">
        <f t="shared" si="6"/>
        <v>426</v>
      </c>
      <c r="F35">
        <f t="shared" si="6"/>
        <v>147</v>
      </c>
      <c r="G35">
        <f t="shared" si="6"/>
        <v>77</v>
      </c>
      <c r="H35">
        <f t="shared" si="6"/>
        <v>78</v>
      </c>
      <c r="I35">
        <f t="shared" si="6"/>
        <v>64</v>
      </c>
      <c r="J35">
        <f t="shared" si="6"/>
        <v>64</v>
      </c>
      <c r="K35">
        <f t="shared" si="6"/>
        <v>74</v>
      </c>
      <c r="L35">
        <f t="shared" si="6"/>
        <v>64</v>
      </c>
      <c r="M35">
        <f t="shared" si="6"/>
        <v>61</v>
      </c>
      <c r="N35">
        <f>SUM(B35:M35)</f>
        <v>2705</v>
      </c>
    </row>
    <row r="36" spans="1:14" x14ac:dyDescent="0.25">
      <c r="A36" s="135" t="s">
        <v>80</v>
      </c>
      <c r="B36">
        <f>SUM(B35:D35)</f>
        <v>1650</v>
      </c>
      <c r="E36">
        <f>SUM(E35:G35)</f>
        <v>650</v>
      </c>
      <c r="H36">
        <f>SUM(H35:J35)</f>
        <v>206</v>
      </c>
      <c r="K36">
        <f>SUM(K35:M35)</f>
        <v>199</v>
      </c>
    </row>
  </sheetData>
  <mergeCells count="12">
    <mergeCell ref="B28:D28"/>
    <mergeCell ref="E28:G28"/>
    <mergeCell ref="H28:J28"/>
    <mergeCell ref="K28:M28"/>
    <mergeCell ref="E2:G2"/>
    <mergeCell ref="H2:J2"/>
    <mergeCell ref="K2:M2"/>
    <mergeCell ref="B2:D2"/>
    <mergeCell ref="B16:D16"/>
    <mergeCell ref="E16:G16"/>
    <mergeCell ref="H16:J16"/>
    <mergeCell ref="K16:M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aggregated_5_sizes</vt:lpstr>
      <vt:lpstr>LLM</vt:lpstr>
      <vt:lpstr>size</vt:lpstr>
      <vt:lpstr>Unsuccessful repairs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Lara Jaramillo</dc:creator>
  <cp:lastModifiedBy>from_atom3.py_import_atom3 from_atom3.py_import_atom3</cp:lastModifiedBy>
  <dcterms:created xsi:type="dcterms:W3CDTF">2025-11-05T13:41:50Z</dcterms:created>
  <dcterms:modified xsi:type="dcterms:W3CDTF">2025-12-07T11:27:06Z</dcterms:modified>
</cp:coreProperties>
</file>