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AI4MT-experiment\experiments\follow_ups_experiment\"/>
    </mc:Choice>
  </mc:AlternateContent>
  <xr:revisionPtr revIDLastSave="0" documentId="13_ncr:1_{46F03A21-593B-4817-AD45-FBA13D817925}" xr6:coauthVersionLast="47" xr6:coauthVersionMax="47" xr10:uidLastSave="{00000000-0000-0000-0000-000000000000}"/>
  <bookViews>
    <workbookView xWindow="-120" yWindow="-120" windowWidth="29040" windowHeight="15720" xr2:uid="{A26D7FA5-7D73-4D56-B54F-77A6DC66F348}"/>
  </bookViews>
  <sheets>
    <sheet name="data centers" sheetId="11" r:id="rId1"/>
    <sheet name="vehicles" sheetId="5" r:id="rId2"/>
    <sheet name="automata" sheetId="7" r:id="rId3"/>
    <sheet name="word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" i="7" l="1"/>
  <c r="W33" i="7"/>
  <c r="W31" i="7"/>
  <c r="S24" i="7"/>
  <c r="R26" i="7"/>
  <c r="S26" i="7"/>
  <c r="S14" i="7"/>
  <c r="AB32" i="5"/>
  <c r="AB31" i="5"/>
  <c r="AB30" i="5"/>
  <c r="AB29" i="5"/>
  <c r="AK30" i="11"/>
  <c r="AK31" i="11" s="1"/>
  <c r="P43" i="9"/>
  <c r="O43" i="9"/>
  <c r="O48" i="9" s="1"/>
  <c r="M43" i="9"/>
  <c r="M48" i="9" s="1"/>
  <c r="L43" i="9"/>
  <c r="J43" i="9"/>
  <c r="I43" i="9"/>
  <c r="I48" i="9" s="1"/>
  <c r="P42" i="9"/>
  <c r="Q42" i="9" s="1"/>
  <c r="O42" i="9"/>
  <c r="M42" i="9"/>
  <c r="L42" i="9"/>
  <c r="J42" i="9"/>
  <c r="I42" i="9"/>
  <c r="K42" i="9" s="1"/>
  <c r="P41" i="9"/>
  <c r="O41" i="9"/>
  <c r="M41" i="9"/>
  <c r="L41" i="9"/>
  <c r="J41" i="9"/>
  <c r="I41" i="9"/>
  <c r="P40" i="9"/>
  <c r="P45" i="9" s="1"/>
  <c r="O40" i="9"/>
  <c r="M40" i="9"/>
  <c r="L40" i="9"/>
  <c r="L45" i="9" s="1"/>
  <c r="J40" i="9"/>
  <c r="I40" i="9"/>
  <c r="K40" i="9" s="1"/>
  <c r="P39" i="9"/>
  <c r="O39" i="9"/>
  <c r="M39" i="9"/>
  <c r="L39" i="9"/>
  <c r="J39" i="9"/>
  <c r="I39" i="9"/>
  <c r="P38" i="9"/>
  <c r="O38" i="9"/>
  <c r="M38" i="9"/>
  <c r="L38" i="9"/>
  <c r="J38" i="9"/>
  <c r="I38" i="9"/>
  <c r="P37" i="9"/>
  <c r="O37" i="9"/>
  <c r="M37" i="9"/>
  <c r="L37" i="9"/>
  <c r="J37" i="9"/>
  <c r="I37" i="9"/>
  <c r="P36" i="9"/>
  <c r="O36" i="9"/>
  <c r="Q36" i="9" s="1"/>
  <c r="M36" i="9"/>
  <c r="L36" i="9"/>
  <c r="N36" i="9" s="1"/>
  <c r="J36" i="9"/>
  <c r="I36" i="9"/>
  <c r="P35" i="9"/>
  <c r="O35" i="9"/>
  <c r="M35" i="9"/>
  <c r="L35" i="9"/>
  <c r="N35" i="9" s="1"/>
  <c r="J35" i="9"/>
  <c r="I35" i="9"/>
  <c r="P34" i="9"/>
  <c r="O34" i="9"/>
  <c r="M34" i="9"/>
  <c r="L34" i="9"/>
  <c r="N34" i="9" s="1"/>
  <c r="J34" i="9"/>
  <c r="I34" i="9"/>
  <c r="P40" i="7"/>
  <c r="P45" i="7" s="1"/>
  <c r="P41" i="7"/>
  <c r="P42" i="7"/>
  <c r="P43" i="7"/>
  <c r="P48" i="7" s="1"/>
  <c r="P39" i="7"/>
  <c r="O40" i="7"/>
  <c r="O45" i="7" s="1"/>
  <c r="O41" i="7"/>
  <c r="Q41" i="7" s="1"/>
  <c r="O42" i="7"/>
  <c r="O47" i="7" s="1"/>
  <c r="O43" i="7"/>
  <c r="Q43" i="7" s="1"/>
  <c r="Q48" i="7" s="1"/>
  <c r="O39" i="7"/>
  <c r="Q39" i="7" s="1"/>
  <c r="P35" i="7"/>
  <c r="P36" i="7"/>
  <c r="P37" i="7"/>
  <c r="P38" i="7"/>
  <c r="P34" i="7"/>
  <c r="O35" i="7"/>
  <c r="O36" i="7"/>
  <c r="O37" i="7"/>
  <c r="O38" i="7"/>
  <c r="O34" i="7"/>
  <c r="M40" i="7"/>
  <c r="M45" i="7" s="1"/>
  <c r="M41" i="7"/>
  <c r="M46" i="7" s="1"/>
  <c r="M42" i="7"/>
  <c r="M47" i="7" s="1"/>
  <c r="M43" i="7"/>
  <c r="M48" i="7" s="1"/>
  <c r="M39" i="7"/>
  <c r="M44" i="7" s="1"/>
  <c r="L40" i="7"/>
  <c r="L45" i="7" s="1"/>
  <c r="L41" i="7"/>
  <c r="N41" i="7" s="1"/>
  <c r="N46" i="7" s="1"/>
  <c r="L42" i="7"/>
  <c r="L47" i="7" s="1"/>
  <c r="L43" i="7"/>
  <c r="L48" i="7" s="1"/>
  <c r="L39" i="7"/>
  <c r="M35" i="7"/>
  <c r="M36" i="7"/>
  <c r="M37" i="7"/>
  <c r="M38" i="7"/>
  <c r="M34" i="7"/>
  <c r="L35" i="7"/>
  <c r="N35" i="7" s="1"/>
  <c r="L36" i="7"/>
  <c r="N36" i="7" s="1"/>
  <c r="L37" i="7"/>
  <c r="L38" i="7"/>
  <c r="N38" i="7" s="1"/>
  <c r="L34" i="7"/>
  <c r="J40" i="7"/>
  <c r="J45" i="7" s="1"/>
  <c r="J41" i="7"/>
  <c r="J46" i="7" s="1"/>
  <c r="J42" i="7"/>
  <c r="J47" i="7" s="1"/>
  <c r="J43" i="7"/>
  <c r="J48" i="7" s="1"/>
  <c r="J39" i="7"/>
  <c r="J44" i="7" s="1"/>
  <c r="I40" i="7"/>
  <c r="I45" i="7" s="1"/>
  <c r="I41" i="7"/>
  <c r="I42" i="7"/>
  <c r="I47" i="7" s="1"/>
  <c r="I43" i="7"/>
  <c r="I48" i="7" s="1"/>
  <c r="I39" i="7"/>
  <c r="K39" i="7" s="1"/>
  <c r="K38" i="5"/>
  <c r="J35" i="7"/>
  <c r="J36" i="7"/>
  <c r="J37" i="7"/>
  <c r="J38" i="7"/>
  <c r="J34" i="7"/>
  <c r="I35" i="7"/>
  <c r="K35" i="7" s="1"/>
  <c r="I36" i="7"/>
  <c r="K36" i="7" s="1"/>
  <c r="I37" i="7"/>
  <c r="I38" i="7"/>
  <c r="K38" i="7" s="1"/>
  <c r="I34" i="7"/>
  <c r="T43" i="5"/>
  <c r="U43" i="5"/>
  <c r="U39" i="5"/>
  <c r="U40" i="5"/>
  <c r="U41" i="5"/>
  <c r="U42" i="5"/>
  <c r="U47" i="5" s="1"/>
  <c r="T39" i="5"/>
  <c r="T44" i="5" s="1"/>
  <c r="T40" i="5"/>
  <c r="T41" i="5"/>
  <c r="T46" i="5" s="1"/>
  <c r="T42" i="5"/>
  <c r="T38" i="5"/>
  <c r="U38" i="5"/>
  <c r="S39" i="5"/>
  <c r="S40" i="5"/>
  <c r="S41" i="5"/>
  <c r="S46" i="5" s="1"/>
  <c r="S42" i="5"/>
  <c r="S47" i="5" s="1"/>
  <c r="S38" i="5"/>
  <c r="U34" i="5"/>
  <c r="U35" i="5"/>
  <c r="U36" i="5"/>
  <c r="U37" i="5"/>
  <c r="T34" i="5"/>
  <c r="T35" i="5"/>
  <c r="T36" i="5"/>
  <c r="T37" i="5"/>
  <c r="T47" i="5" s="1"/>
  <c r="T33" i="5"/>
  <c r="U33" i="5"/>
  <c r="S34" i="5"/>
  <c r="S35" i="5"/>
  <c r="S36" i="5"/>
  <c r="S37" i="5"/>
  <c r="S33" i="5"/>
  <c r="P42" i="5"/>
  <c r="Q42" i="5"/>
  <c r="Q47" i="5" s="1"/>
  <c r="P41" i="5"/>
  <c r="P46" i="5" s="1"/>
  <c r="Q41" i="5"/>
  <c r="Q46" i="5" s="1"/>
  <c r="P40" i="5"/>
  <c r="P45" i="5" s="1"/>
  <c r="Q40" i="5"/>
  <c r="P39" i="5"/>
  <c r="P44" i="5" s="1"/>
  <c r="Q39" i="5"/>
  <c r="P38" i="5"/>
  <c r="Q38" i="5"/>
  <c r="O39" i="5"/>
  <c r="O40" i="5"/>
  <c r="O41" i="5"/>
  <c r="O42" i="5"/>
  <c r="O47" i="5" s="1"/>
  <c r="O38" i="5"/>
  <c r="R38" i="5" s="1"/>
  <c r="R33" i="5"/>
  <c r="Q34" i="5"/>
  <c r="Q35" i="5"/>
  <c r="Q36" i="5"/>
  <c r="Q37" i="5"/>
  <c r="P34" i="5"/>
  <c r="P35" i="5"/>
  <c r="P36" i="5"/>
  <c r="P37" i="5"/>
  <c r="P33" i="5"/>
  <c r="Q33" i="5"/>
  <c r="Q43" i="5" s="1"/>
  <c r="O34" i="5"/>
  <c r="O35" i="5"/>
  <c r="O45" i="5" s="1"/>
  <c r="O36" i="5"/>
  <c r="O37" i="5"/>
  <c r="O33" i="5"/>
  <c r="M39" i="5"/>
  <c r="M44" i="5" s="1"/>
  <c r="M40" i="5"/>
  <c r="M45" i="5" s="1"/>
  <c r="M41" i="5"/>
  <c r="M46" i="5" s="1"/>
  <c r="M42" i="5"/>
  <c r="L39" i="5"/>
  <c r="L40" i="5"/>
  <c r="L45" i="5" s="1"/>
  <c r="L41" i="5"/>
  <c r="L42" i="5"/>
  <c r="L47" i="5" s="1"/>
  <c r="L38" i="5"/>
  <c r="M38" i="5"/>
  <c r="K39" i="5"/>
  <c r="K40" i="5"/>
  <c r="K41" i="5"/>
  <c r="K42" i="5"/>
  <c r="K47" i="5" s="1"/>
  <c r="M34" i="5"/>
  <c r="M35" i="5"/>
  <c r="M36" i="5"/>
  <c r="M37" i="5"/>
  <c r="L34" i="5"/>
  <c r="L35" i="5"/>
  <c r="L36" i="5"/>
  <c r="L37" i="5"/>
  <c r="L33" i="5"/>
  <c r="M33" i="5"/>
  <c r="K34" i="5"/>
  <c r="K35" i="5"/>
  <c r="K36" i="5"/>
  <c r="K37" i="5"/>
  <c r="K33" i="5"/>
  <c r="K43" i="5" s="1"/>
  <c r="AB42" i="11"/>
  <c r="AB47" i="11" s="1"/>
  <c r="AC42" i="11"/>
  <c r="AD42" i="11"/>
  <c r="AE42" i="11"/>
  <c r="AE47" i="11" s="1"/>
  <c r="AB41" i="11"/>
  <c r="AC41" i="11"/>
  <c r="AD41" i="11"/>
  <c r="AE41" i="11"/>
  <c r="AB40" i="11"/>
  <c r="AC40" i="11"/>
  <c r="AD40" i="11"/>
  <c r="AE40" i="11"/>
  <c r="AB39" i="11"/>
  <c r="AB44" i="11" s="1"/>
  <c r="AC39" i="11"/>
  <c r="AC44" i="11" s="1"/>
  <c r="AD39" i="11"/>
  <c r="AD44" i="11" s="1"/>
  <c r="AE39" i="11"/>
  <c r="AE44" i="11" s="1"/>
  <c r="AA39" i="11"/>
  <c r="AA40" i="11"/>
  <c r="AA41" i="11"/>
  <c r="AA42" i="11"/>
  <c r="AA47" i="11" s="1"/>
  <c r="AB38" i="11"/>
  <c r="AC38" i="11"/>
  <c r="AD38" i="11"/>
  <c r="AE38" i="11"/>
  <c r="AA38" i="11"/>
  <c r="V42" i="11"/>
  <c r="V47" i="11" s="1"/>
  <c r="W42" i="11"/>
  <c r="X42" i="11"/>
  <c r="Y42" i="11"/>
  <c r="Y47" i="11" s="1"/>
  <c r="V41" i="11"/>
  <c r="W41" i="11"/>
  <c r="X41" i="11"/>
  <c r="Y41" i="11"/>
  <c r="V40" i="11"/>
  <c r="W40" i="11"/>
  <c r="X40" i="11"/>
  <c r="Y40" i="11"/>
  <c r="V39" i="11"/>
  <c r="V44" i="11" s="1"/>
  <c r="W39" i="11"/>
  <c r="W44" i="11" s="1"/>
  <c r="X39" i="11"/>
  <c r="Y39" i="11"/>
  <c r="Y44" i="11" s="1"/>
  <c r="V38" i="11"/>
  <c r="W38" i="11"/>
  <c r="X38" i="11"/>
  <c r="Y38" i="11"/>
  <c r="U39" i="11"/>
  <c r="U40" i="11"/>
  <c r="U41" i="11"/>
  <c r="U42" i="11"/>
  <c r="U38" i="11"/>
  <c r="AB37" i="11"/>
  <c r="AC37" i="11"/>
  <c r="AD37" i="11"/>
  <c r="AE37" i="11"/>
  <c r="AB36" i="11"/>
  <c r="AC36" i="11"/>
  <c r="AD36" i="11"/>
  <c r="AE36" i="11"/>
  <c r="AB35" i="11"/>
  <c r="AC35" i="11"/>
  <c r="AD35" i="11"/>
  <c r="AE35" i="11"/>
  <c r="AB34" i="11"/>
  <c r="AC34" i="11"/>
  <c r="AD34" i="11"/>
  <c r="AE34" i="11"/>
  <c r="AA34" i="11"/>
  <c r="AA35" i="11"/>
  <c r="AA36" i="11"/>
  <c r="AA37" i="11"/>
  <c r="AB33" i="11"/>
  <c r="AC33" i="11"/>
  <c r="AD33" i="11"/>
  <c r="AE33" i="11"/>
  <c r="AA33" i="11"/>
  <c r="V37" i="11"/>
  <c r="W37" i="11"/>
  <c r="X37" i="11"/>
  <c r="Y37" i="11"/>
  <c r="V36" i="11"/>
  <c r="W36" i="11"/>
  <c r="X36" i="11"/>
  <c r="Y36" i="11"/>
  <c r="V35" i="11"/>
  <c r="W35" i="11"/>
  <c r="X35" i="11"/>
  <c r="Y35" i="11"/>
  <c r="V34" i="11"/>
  <c r="W34" i="11"/>
  <c r="X34" i="11"/>
  <c r="Y34" i="11"/>
  <c r="U34" i="11"/>
  <c r="U35" i="11"/>
  <c r="U36" i="11"/>
  <c r="U37" i="11"/>
  <c r="V33" i="11"/>
  <c r="W33" i="11"/>
  <c r="X33" i="11"/>
  <c r="Y33" i="11"/>
  <c r="U33" i="11"/>
  <c r="S39" i="11"/>
  <c r="S44" i="11" s="1"/>
  <c r="S40" i="11"/>
  <c r="S41" i="11"/>
  <c r="S42" i="11"/>
  <c r="S47" i="11" s="1"/>
  <c r="R39" i="11"/>
  <c r="R40" i="11"/>
  <c r="R41" i="11"/>
  <c r="R42" i="11"/>
  <c r="Q39" i="11"/>
  <c r="Q44" i="11" s="1"/>
  <c r="Q40" i="11"/>
  <c r="Q41" i="11"/>
  <c r="Q42" i="11"/>
  <c r="P39" i="11"/>
  <c r="P44" i="11" s="1"/>
  <c r="P40" i="11"/>
  <c r="P41" i="11"/>
  <c r="P42" i="11"/>
  <c r="P47" i="11" s="1"/>
  <c r="P38" i="11"/>
  <c r="Q38" i="11"/>
  <c r="R38" i="11"/>
  <c r="S38" i="11"/>
  <c r="O39" i="11"/>
  <c r="O40" i="11"/>
  <c r="O41" i="11"/>
  <c r="O42" i="11"/>
  <c r="O47" i="11" s="1"/>
  <c r="O38" i="11"/>
  <c r="S35" i="11"/>
  <c r="S36" i="11"/>
  <c r="S37" i="11"/>
  <c r="R35" i="11"/>
  <c r="R36" i="11"/>
  <c r="R37" i="11"/>
  <c r="Q35" i="11"/>
  <c r="Q36" i="11"/>
  <c r="Q37" i="11"/>
  <c r="P35" i="11"/>
  <c r="P36" i="11"/>
  <c r="P37" i="11"/>
  <c r="P34" i="11"/>
  <c r="Q34" i="11"/>
  <c r="R34" i="11"/>
  <c r="S34" i="11"/>
  <c r="O34" i="11"/>
  <c r="O35" i="11"/>
  <c r="O36" i="11"/>
  <c r="O37" i="11"/>
  <c r="P33" i="11"/>
  <c r="Q33" i="11"/>
  <c r="R33" i="11"/>
  <c r="S33" i="11"/>
  <c r="O33" i="11"/>
  <c r="AE29" i="11"/>
  <c r="AE30" i="11"/>
  <c r="AE31" i="11"/>
  <c r="AE32" i="11"/>
  <c r="AD29" i="11"/>
  <c r="AD30" i="11"/>
  <c r="AD31" i="11"/>
  <c r="AD32" i="11"/>
  <c r="AC29" i="11"/>
  <c r="AC30" i="11"/>
  <c r="AC31" i="11"/>
  <c r="AC32" i="11"/>
  <c r="AB29" i="11"/>
  <c r="AB30" i="11"/>
  <c r="AB31" i="11"/>
  <c r="AB32" i="11"/>
  <c r="AB28" i="11"/>
  <c r="AC28" i="11"/>
  <c r="AD28" i="11"/>
  <c r="AE28" i="11"/>
  <c r="AA29" i="11"/>
  <c r="AA30" i="11"/>
  <c r="AA31" i="11"/>
  <c r="AA32" i="11"/>
  <c r="AA28" i="11"/>
  <c r="Y29" i="11"/>
  <c r="Y30" i="11"/>
  <c r="Y31" i="11"/>
  <c r="Y32" i="11"/>
  <c r="X29" i="11"/>
  <c r="X30" i="11"/>
  <c r="X31" i="11"/>
  <c r="X32" i="11"/>
  <c r="W29" i="11"/>
  <c r="W30" i="11"/>
  <c r="W31" i="11"/>
  <c r="W32" i="11"/>
  <c r="V29" i="11"/>
  <c r="V30" i="11"/>
  <c r="V31" i="11"/>
  <c r="V32" i="11"/>
  <c r="U29" i="11"/>
  <c r="U30" i="11"/>
  <c r="U31" i="11"/>
  <c r="U32" i="11"/>
  <c r="V28" i="11"/>
  <c r="W28" i="11"/>
  <c r="X28" i="11"/>
  <c r="Y28" i="11"/>
  <c r="U28" i="11"/>
  <c r="S29" i="11"/>
  <c r="S30" i="11"/>
  <c r="S31" i="11"/>
  <c r="S32" i="11"/>
  <c r="R29" i="11"/>
  <c r="R30" i="11"/>
  <c r="R31" i="11"/>
  <c r="R32" i="11"/>
  <c r="Q29" i="11"/>
  <c r="Q30" i="11"/>
  <c r="Q31" i="11"/>
  <c r="Q32" i="11"/>
  <c r="P29" i="11"/>
  <c r="P30" i="11"/>
  <c r="P31" i="11"/>
  <c r="P32" i="11"/>
  <c r="P28" i="11"/>
  <c r="Q28" i="11"/>
  <c r="R28" i="11"/>
  <c r="S28" i="11"/>
  <c r="O32" i="11"/>
  <c r="O31" i="11"/>
  <c r="O30" i="11"/>
  <c r="O29" i="11"/>
  <c r="O28" i="11"/>
  <c r="M29" i="11"/>
  <c r="M30" i="11"/>
  <c r="M31" i="11"/>
  <c r="M32" i="11"/>
  <c r="L29" i="11"/>
  <c r="L30" i="11"/>
  <c r="L31" i="11"/>
  <c r="L32" i="11"/>
  <c r="K29" i="11"/>
  <c r="K30" i="11"/>
  <c r="K31" i="11"/>
  <c r="K32" i="11"/>
  <c r="J29" i="11"/>
  <c r="J30" i="11"/>
  <c r="J31" i="11"/>
  <c r="J32" i="11"/>
  <c r="J28" i="11"/>
  <c r="K28" i="11"/>
  <c r="L28" i="11"/>
  <c r="M28" i="11"/>
  <c r="I29" i="11"/>
  <c r="I30" i="11"/>
  <c r="I31" i="11"/>
  <c r="I32" i="11"/>
  <c r="I28" i="11"/>
  <c r="G29" i="11"/>
  <c r="G30" i="11"/>
  <c r="G31" i="11"/>
  <c r="G32" i="11"/>
  <c r="F29" i="11"/>
  <c r="F30" i="11"/>
  <c r="F31" i="11"/>
  <c r="F32" i="11"/>
  <c r="E29" i="11"/>
  <c r="E30" i="11"/>
  <c r="E31" i="11"/>
  <c r="E32" i="11"/>
  <c r="D29" i="11"/>
  <c r="D30" i="11"/>
  <c r="D31" i="11"/>
  <c r="D32" i="11"/>
  <c r="D28" i="11"/>
  <c r="E28" i="11"/>
  <c r="F28" i="11"/>
  <c r="G28" i="11"/>
  <c r="C29" i="11"/>
  <c r="C30" i="11"/>
  <c r="C31" i="11"/>
  <c r="C32" i="11"/>
  <c r="C28" i="11"/>
  <c r="N27" i="11"/>
  <c r="T27" i="11" s="1"/>
  <c r="Z27" i="11" s="1"/>
  <c r="AF27" i="11" s="1"/>
  <c r="H27" i="11"/>
  <c r="N26" i="11"/>
  <c r="T26" i="11" s="1"/>
  <c r="Z26" i="11" s="1"/>
  <c r="AF26" i="11" s="1"/>
  <c r="H26" i="11"/>
  <c r="N25" i="11"/>
  <c r="T25" i="11" s="1"/>
  <c r="Z25" i="11" s="1"/>
  <c r="AF25" i="11" s="1"/>
  <c r="H25" i="11"/>
  <c r="N24" i="11"/>
  <c r="T24" i="11" s="1"/>
  <c r="Z24" i="11" s="1"/>
  <c r="AF24" i="11" s="1"/>
  <c r="H24" i="11"/>
  <c r="N23" i="11"/>
  <c r="T23" i="11" s="1"/>
  <c r="Z23" i="11" s="1"/>
  <c r="AF23" i="11" s="1"/>
  <c r="H23" i="11"/>
  <c r="N22" i="11"/>
  <c r="T22" i="11" s="1"/>
  <c r="Z22" i="11" s="1"/>
  <c r="AF22" i="11" s="1"/>
  <c r="H22" i="11"/>
  <c r="N21" i="11"/>
  <c r="T21" i="11" s="1"/>
  <c r="Z21" i="11" s="1"/>
  <c r="AF21" i="11" s="1"/>
  <c r="H21" i="11"/>
  <c r="N20" i="11"/>
  <c r="T20" i="11" s="1"/>
  <c r="Z20" i="11" s="1"/>
  <c r="AF20" i="11" s="1"/>
  <c r="H20" i="11"/>
  <c r="N19" i="11"/>
  <c r="T19" i="11" s="1"/>
  <c r="Z19" i="11" s="1"/>
  <c r="AF19" i="11" s="1"/>
  <c r="H19" i="11"/>
  <c r="N18" i="11"/>
  <c r="T18" i="11" s="1"/>
  <c r="Z18" i="11" s="1"/>
  <c r="AF18" i="11" s="1"/>
  <c r="H18" i="11"/>
  <c r="N17" i="11"/>
  <c r="T17" i="11" s="1"/>
  <c r="Z17" i="11" s="1"/>
  <c r="AF17" i="11" s="1"/>
  <c r="H17" i="11"/>
  <c r="N16" i="11"/>
  <c r="T16" i="11" s="1"/>
  <c r="Z16" i="11" s="1"/>
  <c r="AF16" i="11" s="1"/>
  <c r="H16" i="11"/>
  <c r="N15" i="11"/>
  <c r="T15" i="11" s="1"/>
  <c r="Z15" i="11" s="1"/>
  <c r="AF15" i="11" s="1"/>
  <c r="H15" i="11"/>
  <c r="N14" i="11"/>
  <c r="T14" i="11" s="1"/>
  <c r="Z14" i="11" s="1"/>
  <c r="AF14" i="11" s="1"/>
  <c r="H14" i="11"/>
  <c r="N13" i="11"/>
  <c r="T13" i="11" s="1"/>
  <c r="Z13" i="11" s="1"/>
  <c r="AF13" i="11" s="1"/>
  <c r="H13" i="11"/>
  <c r="N12" i="11"/>
  <c r="T12" i="11" s="1"/>
  <c r="Z12" i="11" s="1"/>
  <c r="AF12" i="11" s="1"/>
  <c r="H12" i="11"/>
  <c r="N11" i="11"/>
  <c r="T11" i="11" s="1"/>
  <c r="Z11" i="11" s="1"/>
  <c r="AF11" i="11" s="1"/>
  <c r="H11" i="11"/>
  <c r="N10" i="11"/>
  <c r="T10" i="11" s="1"/>
  <c r="Z10" i="11" s="1"/>
  <c r="AF10" i="11" s="1"/>
  <c r="H10" i="11"/>
  <c r="N9" i="11"/>
  <c r="T9" i="11" s="1"/>
  <c r="Z9" i="11" s="1"/>
  <c r="AF9" i="11" s="1"/>
  <c r="H9" i="11"/>
  <c r="N8" i="11"/>
  <c r="T8" i="11" s="1"/>
  <c r="Z8" i="11" s="1"/>
  <c r="AF8" i="11" s="1"/>
  <c r="H8" i="11"/>
  <c r="N7" i="11"/>
  <c r="T7" i="11" s="1"/>
  <c r="Z7" i="11" s="1"/>
  <c r="AF7" i="11" s="1"/>
  <c r="H7" i="11"/>
  <c r="N6" i="11"/>
  <c r="T6" i="11" s="1"/>
  <c r="Z6" i="11" s="1"/>
  <c r="AF6" i="11" s="1"/>
  <c r="H6" i="11"/>
  <c r="N5" i="11"/>
  <c r="T5" i="11" s="1"/>
  <c r="Z5" i="11" s="1"/>
  <c r="AF5" i="11" s="1"/>
  <c r="H5" i="11"/>
  <c r="N4" i="11"/>
  <c r="T4" i="11" s="1"/>
  <c r="Z4" i="11" s="1"/>
  <c r="AF4" i="11" s="1"/>
  <c r="H4" i="11"/>
  <c r="N3" i="11"/>
  <c r="T3" i="11" s="1"/>
  <c r="Z3" i="11" s="1"/>
  <c r="AF3" i="11" s="1"/>
  <c r="H3" i="11"/>
  <c r="P30" i="9"/>
  <c r="P31" i="9"/>
  <c r="P32" i="9"/>
  <c r="P33" i="9"/>
  <c r="P29" i="9"/>
  <c r="O30" i="9"/>
  <c r="O31" i="9"/>
  <c r="O32" i="9"/>
  <c r="O33" i="9"/>
  <c r="O29" i="9"/>
  <c r="M30" i="9"/>
  <c r="M31" i="9"/>
  <c r="M32" i="9"/>
  <c r="M33" i="9"/>
  <c r="M29" i="9"/>
  <c r="L30" i="9"/>
  <c r="N30" i="9" s="1"/>
  <c r="L31" i="9"/>
  <c r="N31" i="9" s="1"/>
  <c r="L32" i="9"/>
  <c r="N32" i="9" s="1"/>
  <c r="L33" i="9"/>
  <c r="L29" i="9"/>
  <c r="J30" i="9"/>
  <c r="J31" i="9"/>
  <c r="J32" i="9"/>
  <c r="J33" i="9"/>
  <c r="I30" i="9"/>
  <c r="I31" i="9"/>
  <c r="K31" i="9" s="1"/>
  <c r="I32" i="9"/>
  <c r="K32" i="9" s="1"/>
  <c r="I33" i="9"/>
  <c r="J29" i="9"/>
  <c r="I29" i="9"/>
  <c r="K29" i="9" s="1"/>
  <c r="G30" i="9"/>
  <c r="G31" i="9"/>
  <c r="G32" i="9"/>
  <c r="G33" i="9"/>
  <c r="F30" i="9"/>
  <c r="F31" i="9"/>
  <c r="H31" i="9" s="1"/>
  <c r="F32" i="9"/>
  <c r="H32" i="9" s="1"/>
  <c r="F33" i="9"/>
  <c r="H33" i="9" s="1"/>
  <c r="G29" i="9"/>
  <c r="F29" i="9"/>
  <c r="D30" i="9"/>
  <c r="D31" i="9"/>
  <c r="D32" i="9"/>
  <c r="D33" i="9"/>
  <c r="D29" i="9"/>
  <c r="C30" i="9"/>
  <c r="C31" i="9"/>
  <c r="E31" i="9" s="1"/>
  <c r="C32" i="9"/>
  <c r="E32" i="9" s="1"/>
  <c r="C33" i="9"/>
  <c r="E33" i="9" s="1"/>
  <c r="C29" i="9"/>
  <c r="E29" i="9" s="1"/>
  <c r="AK33" i="11" l="1"/>
  <c r="AK32" i="11"/>
  <c r="S43" i="11"/>
  <c r="AE43" i="11"/>
  <c r="N29" i="9"/>
  <c r="H29" i="9"/>
  <c r="K43" i="9"/>
  <c r="K48" i="9" s="1"/>
  <c r="Q35" i="9"/>
  <c r="Q39" i="9"/>
  <c r="Q44" i="9" s="1"/>
  <c r="H30" i="9"/>
  <c r="Q29" i="9"/>
  <c r="Q31" i="9"/>
  <c r="K37" i="9"/>
  <c r="Q32" i="9"/>
  <c r="N43" i="9"/>
  <c r="Q33" i="9"/>
  <c r="K33" i="9"/>
  <c r="K38" i="9"/>
  <c r="N33" i="9"/>
  <c r="P48" i="9"/>
  <c r="Q37" i="9"/>
  <c r="N42" i="9"/>
  <c r="Q38" i="9"/>
  <c r="O47" i="9"/>
  <c r="K35" i="9"/>
  <c r="K45" i="9" s="1"/>
  <c r="J44" i="9"/>
  <c r="M44" i="9"/>
  <c r="K36" i="9"/>
  <c r="Q30" i="9"/>
  <c r="P46" i="9"/>
  <c r="Q40" i="9"/>
  <c r="Q45" i="9" s="1"/>
  <c r="K30" i="9"/>
  <c r="I46" i="9"/>
  <c r="E30" i="9"/>
  <c r="N41" i="9"/>
  <c r="N46" i="9" s="1"/>
  <c r="K39" i="9"/>
  <c r="N39" i="9"/>
  <c r="N44" i="9" s="1"/>
  <c r="P44" i="9"/>
  <c r="J45" i="9"/>
  <c r="N40" i="9"/>
  <c r="N45" i="9" s="1"/>
  <c r="N37" i="9"/>
  <c r="J46" i="9"/>
  <c r="K34" i="9"/>
  <c r="M46" i="9"/>
  <c r="M47" i="9"/>
  <c r="Q41" i="9"/>
  <c r="Q46" i="9" s="1"/>
  <c r="K47" i="9"/>
  <c r="N38" i="9"/>
  <c r="N48" i="9" s="1"/>
  <c r="J47" i="9"/>
  <c r="Q34" i="9"/>
  <c r="I46" i="7"/>
  <c r="N39" i="7"/>
  <c r="N43" i="7"/>
  <c r="N48" i="7" s="1"/>
  <c r="P46" i="7"/>
  <c r="N42" i="7"/>
  <c r="Q42" i="7"/>
  <c r="K34" i="7"/>
  <c r="K44" i="7" s="1"/>
  <c r="N34" i="7"/>
  <c r="Q40" i="7"/>
  <c r="Q45" i="7" s="1"/>
  <c r="O44" i="7"/>
  <c r="K37" i="7"/>
  <c r="N37" i="7"/>
  <c r="O48" i="7"/>
  <c r="Q36" i="7"/>
  <c r="Q46" i="7" s="1"/>
  <c r="Q35" i="7"/>
  <c r="P44" i="7"/>
  <c r="Q38" i="7"/>
  <c r="L44" i="7"/>
  <c r="P47" i="7"/>
  <c r="O46" i="7"/>
  <c r="K41" i="7"/>
  <c r="K46" i="7" s="1"/>
  <c r="Q34" i="7"/>
  <c r="Q44" i="7" s="1"/>
  <c r="I44" i="7"/>
  <c r="L46" i="7"/>
  <c r="Q37" i="7"/>
  <c r="K43" i="7"/>
  <c r="K48" i="7" s="1"/>
  <c r="K40" i="7"/>
  <c r="K45" i="7" s="1"/>
  <c r="N40" i="7"/>
  <c r="N45" i="7" s="1"/>
  <c r="K42" i="7"/>
  <c r="V34" i="5"/>
  <c r="N37" i="5"/>
  <c r="V35" i="5"/>
  <c r="M47" i="5"/>
  <c r="K44" i="5"/>
  <c r="U44" i="5"/>
  <c r="Q44" i="5"/>
  <c r="L46" i="5"/>
  <c r="R37" i="5"/>
  <c r="Q45" i="5"/>
  <c r="S45" i="5"/>
  <c r="R34" i="5"/>
  <c r="P43" i="5"/>
  <c r="P47" i="5"/>
  <c r="R36" i="5"/>
  <c r="V33" i="5"/>
  <c r="V43" i="5" s="1"/>
  <c r="T45" i="5"/>
  <c r="S44" i="5"/>
  <c r="M43" i="5"/>
  <c r="S43" i="5"/>
  <c r="L43" i="5"/>
  <c r="N40" i="5"/>
  <c r="O44" i="5"/>
  <c r="N39" i="5"/>
  <c r="O46" i="5"/>
  <c r="R35" i="5"/>
  <c r="K46" i="5"/>
  <c r="L44" i="5"/>
  <c r="U46" i="5"/>
  <c r="U45" i="5"/>
  <c r="V37" i="5"/>
  <c r="N35" i="5"/>
  <c r="R43" i="5"/>
  <c r="V38" i="5"/>
  <c r="V36" i="5"/>
  <c r="V42" i="5"/>
  <c r="V41" i="5"/>
  <c r="V47" i="5"/>
  <c r="V46" i="5"/>
  <c r="V40" i="5"/>
  <c r="V45" i="5" s="1"/>
  <c r="R41" i="5"/>
  <c r="R46" i="5" s="1"/>
  <c r="V39" i="5"/>
  <c r="V44" i="5" s="1"/>
  <c r="N38" i="5"/>
  <c r="R40" i="5"/>
  <c r="N42" i="5"/>
  <c r="N47" i="5" s="1"/>
  <c r="N41" i="5"/>
  <c r="N33" i="5"/>
  <c r="N36" i="5"/>
  <c r="K45" i="5"/>
  <c r="N34" i="5"/>
  <c r="O43" i="5"/>
  <c r="O44" i="11"/>
  <c r="AB43" i="11"/>
  <c r="AF35" i="11"/>
  <c r="X43" i="11"/>
  <c r="Q46" i="11"/>
  <c r="Q45" i="11"/>
  <c r="AB45" i="11"/>
  <c r="AD47" i="11"/>
  <c r="AD43" i="11"/>
  <c r="AC43" i="11"/>
  <c r="P46" i="11"/>
  <c r="Q47" i="11"/>
  <c r="AA45" i="11"/>
  <c r="R47" i="11"/>
  <c r="R45" i="11"/>
  <c r="Y46" i="11"/>
  <c r="AC45" i="11"/>
  <c r="R44" i="11"/>
  <c r="S45" i="11"/>
  <c r="T38" i="11"/>
  <c r="AD46" i="11"/>
  <c r="R43" i="11"/>
  <c r="V46" i="11"/>
  <c r="Q43" i="11"/>
  <c r="O46" i="11"/>
  <c r="Z33" i="11"/>
  <c r="P43" i="11"/>
  <c r="O45" i="11"/>
  <c r="Y43" i="11"/>
  <c r="AF33" i="11"/>
  <c r="X47" i="11"/>
  <c r="T28" i="11"/>
  <c r="W47" i="11"/>
  <c r="AA43" i="11"/>
  <c r="T33" i="11"/>
  <c r="S46" i="11"/>
  <c r="X44" i="11"/>
  <c r="AF34" i="11"/>
  <c r="W43" i="11"/>
  <c r="AF40" i="11"/>
  <c r="T42" i="11"/>
  <c r="Z35" i="11"/>
  <c r="AF41" i="11"/>
  <c r="T39" i="11"/>
  <c r="Y45" i="11"/>
  <c r="Z34" i="11"/>
  <c r="X45" i="11"/>
  <c r="AF39" i="11"/>
  <c r="AE46" i="11"/>
  <c r="W45" i="11"/>
  <c r="O43" i="11"/>
  <c r="V45" i="11"/>
  <c r="T37" i="11"/>
  <c r="X46" i="11"/>
  <c r="W46" i="11"/>
  <c r="AE45" i="11"/>
  <c r="T34" i="11"/>
  <c r="P45" i="11"/>
  <c r="AD45" i="11"/>
  <c r="V43" i="11"/>
  <c r="Z42" i="11"/>
  <c r="U47" i="11"/>
  <c r="AC46" i="11"/>
  <c r="Z37" i="11"/>
  <c r="U46" i="11"/>
  <c r="AB46" i="11"/>
  <c r="N28" i="11"/>
  <c r="R46" i="11"/>
  <c r="Z36" i="11"/>
  <c r="AF37" i="11"/>
  <c r="U45" i="11"/>
  <c r="AF36" i="11"/>
  <c r="U44" i="11"/>
  <c r="Z38" i="11"/>
  <c r="AC47" i="11"/>
  <c r="Z43" i="11"/>
  <c r="AA46" i="11"/>
  <c r="AA44" i="11"/>
  <c r="T41" i="11"/>
  <c r="Z41" i="11"/>
  <c r="Z40" i="11"/>
  <c r="AF28" i="11"/>
  <c r="T40" i="11"/>
  <c r="Z39" i="11"/>
  <c r="U43" i="11"/>
  <c r="Z28" i="11"/>
  <c r="AF38" i="11"/>
  <c r="AF42" i="11"/>
  <c r="T36" i="11"/>
  <c r="Q47" i="9"/>
  <c r="L46" i="9"/>
  <c r="K41" i="9"/>
  <c r="Q43" i="9"/>
  <c r="I44" i="9"/>
  <c r="O46" i="9"/>
  <c r="L44" i="9"/>
  <c r="I47" i="9"/>
  <c r="L47" i="9"/>
  <c r="O44" i="9"/>
  <c r="I45" i="9"/>
  <c r="P47" i="9"/>
  <c r="M45" i="9"/>
  <c r="J48" i="9"/>
  <c r="O45" i="9"/>
  <c r="L48" i="9"/>
  <c r="R42" i="5"/>
  <c r="R47" i="5" s="1"/>
  <c r="R39" i="5"/>
  <c r="R44" i="5" s="1"/>
  <c r="T35" i="11"/>
  <c r="AF31" i="11"/>
  <c r="AF29" i="11"/>
  <c r="AF32" i="11"/>
  <c r="AF30" i="11"/>
  <c r="Z32" i="11"/>
  <c r="Z29" i="11"/>
  <c r="Z31" i="11"/>
  <c r="Z30" i="11"/>
  <c r="N29" i="11"/>
  <c r="T32" i="11"/>
  <c r="T29" i="11"/>
  <c r="T31" i="11"/>
  <c r="T30" i="11"/>
  <c r="N30" i="11"/>
  <c r="N32" i="11"/>
  <c r="N31" i="11"/>
  <c r="H29" i="11"/>
  <c r="H28" i="11"/>
  <c r="H32" i="11"/>
  <c r="H30" i="11"/>
  <c r="H31" i="11"/>
  <c r="P30" i="7"/>
  <c r="P31" i="7"/>
  <c r="P32" i="7"/>
  <c r="P33" i="7"/>
  <c r="P29" i="7"/>
  <c r="O30" i="7"/>
  <c r="Q30" i="7" s="1"/>
  <c r="O31" i="7"/>
  <c r="Q31" i="7" s="1"/>
  <c r="O32" i="7"/>
  <c r="Q32" i="7" s="1"/>
  <c r="O33" i="7"/>
  <c r="Q33" i="7" s="1"/>
  <c r="O29" i="7"/>
  <c r="Q29" i="7" s="1"/>
  <c r="M30" i="7"/>
  <c r="M31" i="7"/>
  <c r="M32" i="7"/>
  <c r="M33" i="7"/>
  <c r="L29" i="7"/>
  <c r="N29" i="7" s="1"/>
  <c r="M29" i="7"/>
  <c r="L30" i="7"/>
  <c r="N30" i="7" s="1"/>
  <c r="L31" i="7"/>
  <c r="N31" i="7" s="1"/>
  <c r="L32" i="7"/>
  <c r="N32" i="7" s="1"/>
  <c r="L33" i="7"/>
  <c r="N33" i="7" s="1"/>
  <c r="I29" i="7"/>
  <c r="J30" i="7"/>
  <c r="J31" i="7"/>
  <c r="J32" i="7"/>
  <c r="J33" i="7"/>
  <c r="J29" i="7"/>
  <c r="I30" i="7"/>
  <c r="K30" i="7" s="1"/>
  <c r="I31" i="7"/>
  <c r="I32" i="7"/>
  <c r="I33" i="7"/>
  <c r="G30" i="7"/>
  <c r="G31" i="7"/>
  <c r="G32" i="7"/>
  <c r="G33" i="7"/>
  <c r="G29" i="7"/>
  <c r="F30" i="7"/>
  <c r="H30" i="7" s="1"/>
  <c r="F31" i="7"/>
  <c r="H31" i="7" s="1"/>
  <c r="F32" i="7"/>
  <c r="H32" i="7" s="1"/>
  <c r="F33" i="7"/>
  <c r="H33" i="7" s="1"/>
  <c r="F29" i="7"/>
  <c r="H29" i="7" s="1"/>
  <c r="E32" i="7"/>
  <c r="E33" i="7"/>
  <c r="D30" i="7"/>
  <c r="E30" i="7" s="1"/>
  <c r="D31" i="7"/>
  <c r="E31" i="7" s="1"/>
  <c r="D32" i="7"/>
  <c r="D33" i="7"/>
  <c r="C30" i="7"/>
  <c r="C31" i="7"/>
  <c r="C32" i="7"/>
  <c r="C33" i="7"/>
  <c r="D29" i="7"/>
  <c r="C29" i="7"/>
  <c r="U29" i="5"/>
  <c r="U30" i="5"/>
  <c r="U31" i="5"/>
  <c r="U32" i="5"/>
  <c r="T29" i="5"/>
  <c r="T30" i="5"/>
  <c r="T31" i="5"/>
  <c r="T32" i="5"/>
  <c r="S29" i="5"/>
  <c r="S30" i="5"/>
  <c r="S31" i="5"/>
  <c r="S32" i="5"/>
  <c r="T28" i="5"/>
  <c r="U28" i="5"/>
  <c r="S28" i="5"/>
  <c r="V28" i="5" s="1"/>
  <c r="Q29" i="5"/>
  <c r="Q30" i="5"/>
  <c r="Q31" i="5"/>
  <c r="Q32" i="5"/>
  <c r="P29" i="5"/>
  <c r="P30" i="5"/>
  <c r="P31" i="5"/>
  <c r="P32" i="5"/>
  <c r="P28" i="5"/>
  <c r="Q28" i="5"/>
  <c r="O29" i="5"/>
  <c r="O30" i="5"/>
  <c r="O31" i="5"/>
  <c r="O32" i="5"/>
  <c r="O28" i="5"/>
  <c r="M29" i="5"/>
  <c r="M30" i="5"/>
  <c r="M31" i="5"/>
  <c r="M32" i="5"/>
  <c r="L29" i="5"/>
  <c r="L30" i="5"/>
  <c r="L31" i="5"/>
  <c r="L32" i="5"/>
  <c r="L28" i="5"/>
  <c r="M28" i="5"/>
  <c r="K29" i="5"/>
  <c r="N29" i="5" s="1"/>
  <c r="K30" i="5"/>
  <c r="N30" i="5" s="1"/>
  <c r="K31" i="5"/>
  <c r="K32" i="5"/>
  <c r="K28" i="5"/>
  <c r="I29" i="5"/>
  <c r="I30" i="5"/>
  <c r="I31" i="5"/>
  <c r="I32" i="5"/>
  <c r="H29" i="5"/>
  <c r="H30" i="5"/>
  <c r="H31" i="5"/>
  <c r="H32" i="5"/>
  <c r="G29" i="5"/>
  <c r="G30" i="5"/>
  <c r="G31" i="5"/>
  <c r="G32" i="5"/>
  <c r="H28" i="5"/>
  <c r="I28" i="5"/>
  <c r="G28" i="5"/>
  <c r="E29" i="5"/>
  <c r="E30" i="5"/>
  <c r="E31" i="5"/>
  <c r="E32" i="5"/>
  <c r="D29" i="5"/>
  <c r="F29" i="5" s="1"/>
  <c r="D30" i="5"/>
  <c r="F30" i="5" s="1"/>
  <c r="D31" i="5"/>
  <c r="F31" i="5" s="1"/>
  <c r="D32" i="5"/>
  <c r="F32" i="5" s="1"/>
  <c r="C29" i="5"/>
  <c r="C30" i="5"/>
  <c r="C31" i="5"/>
  <c r="C32" i="5"/>
  <c r="D28" i="5"/>
  <c r="C28" i="5"/>
  <c r="H9" i="7"/>
  <c r="K9" i="7" s="1"/>
  <c r="N9" i="7" s="1"/>
  <c r="Q9" i="7" s="1"/>
  <c r="K12" i="7"/>
  <c r="N12" i="7" s="1"/>
  <c r="Q12" i="7" s="1"/>
  <c r="K15" i="7"/>
  <c r="N15" i="7" s="1"/>
  <c r="Q15" i="7" s="1"/>
  <c r="H5" i="7"/>
  <c r="K5" i="7" s="1"/>
  <c r="N5" i="7" s="1"/>
  <c r="Q5" i="7" s="1"/>
  <c r="H6" i="7"/>
  <c r="K6" i="7" s="1"/>
  <c r="N6" i="7" s="1"/>
  <c r="Q6" i="7" s="1"/>
  <c r="H7" i="7"/>
  <c r="K7" i="7" s="1"/>
  <c r="N7" i="7" s="1"/>
  <c r="Q7" i="7" s="1"/>
  <c r="H8" i="7"/>
  <c r="K8" i="7" s="1"/>
  <c r="N8" i="7" s="1"/>
  <c r="Q8" i="7" s="1"/>
  <c r="H10" i="7"/>
  <c r="K10" i="7" s="1"/>
  <c r="N10" i="7" s="1"/>
  <c r="Q10" i="7" s="1"/>
  <c r="H11" i="7"/>
  <c r="K11" i="7" s="1"/>
  <c r="N11" i="7" s="1"/>
  <c r="Q11" i="7" s="1"/>
  <c r="H12" i="7"/>
  <c r="H13" i="7"/>
  <c r="K13" i="7" s="1"/>
  <c r="N13" i="7" s="1"/>
  <c r="Q13" i="7" s="1"/>
  <c r="H14" i="7"/>
  <c r="K14" i="7" s="1"/>
  <c r="N14" i="7" s="1"/>
  <c r="Q14" i="7" s="1"/>
  <c r="H15" i="7"/>
  <c r="H16" i="7"/>
  <c r="K16" i="7" s="1"/>
  <c r="N16" i="7" s="1"/>
  <c r="Q16" i="7" s="1"/>
  <c r="H17" i="7"/>
  <c r="K17" i="7" s="1"/>
  <c r="N17" i="7" s="1"/>
  <c r="Q17" i="7" s="1"/>
  <c r="H18" i="7"/>
  <c r="K18" i="7" s="1"/>
  <c r="N18" i="7" s="1"/>
  <c r="Q18" i="7" s="1"/>
  <c r="H19" i="7"/>
  <c r="K19" i="7" s="1"/>
  <c r="N19" i="7" s="1"/>
  <c r="Q19" i="7" s="1"/>
  <c r="H20" i="7"/>
  <c r="K20" i="7" s="1"/>
  <c r="N20" i="7" s="1"/>
  <c r="Q20" i="7" s="1"/>
  <c r="H21" i="7"/>
  <c r="K21" i="7" s="1"/>
  <c r="N21" i="7" s="1"/>
  <c r="Q21" i="7" s="1"/>
  <c r="H22" i="7"/>
  <c r="K22" i="7" s="1"/>
  <c r="N22" i="7" s="1"/>
  <c r="Q22" i="7" s="1"/>
  <c r="H23" i="7"/>
  <c r="K23" i="7" s="1"/>
  <c r="N23" i="7" s="1"/>
  <c r="Q23" i="7" s="1"/>
  <c r="H24" i="7"/>
  <c r="K24" i="7" s="1"/>
  <c r="N24" i="7" s="1"/>
  <c r="Q24" i="7" s="1"/>
  <c r="H25" i="7"/>
  <c r="K25" i="7" s="1"/>
  <c r="N25" i="7" s="1"/>
  <c r="Q25" i="7" s="1"/>
  <c r="H26" i="7"/>
  <c r="K26" i="7" s="1"/>
  <c r="N26" i="7" s="1"/>
  <c r="Q26" i="7" s="1"/>
  <c r="H27" i="7"/>
  <c r="K27" i="7" s="1"/>
  <c r="N27" i="7" s="1"/>
  <c r="Q27" i="7" s="1"/>
  <c r="H28" i="7"/>
  <c r="K28" i="7" s="1"/>
  <c r="N28" i="7" s="1"/>
  <c r="Q28" i="7" s="1"/>
  <c r="H4" i="7"/>
  <c r="K4" i="7" s="1"/>
  <c r="N4" i="7" s="1"/>
  <c r="Q4" i="7" s="1"/>
  <c r="H11" i="9"/>
  <c r="K11" i="9" s="1"/>
  <c r="N11" i="9" s="1"/>
  <c r="Q11" i="9" s="1"/>
  <c r="H5" i="9"/>
  <c r="K5" i="9" s="1"/>
  <c r="N5" i="9" s="1"/>
  <c r="Q5" i="9" s="1"/>
  <c r="H6" i="9"/>
  <c r="K6" i="9" s="1"/>
  <c r="N6" i="9" s="1"/>
  <c r="Q6" i="9" s="1"/>
  <c r="H7" i="9"/>
  <c r="K7" i="9" s="1"/>
  <c r="N7" i="9" s="1"/>
  <c r="Q7" i="9" s="1"/>
  <c r="H8" i="9"/>
  <c r="K8" i="9" s="1"/>
  <c r="N8" i="9" s="1"/>
  <c r="Q8" i="9" s="1"/>
  <c r="H9" i="9"/>
  <c r="K9" i="9" s="1"/>
  <c r="N9" i="9" s="1"/>
  <c r="Q9" i="9" s="1"/>
  <c r="H10" i="9"/>
  <c r="K10" i="9" s="1"/>
  <c r="N10" i="9" s="1"/>
  <c r="Q10" i="9" s="1"/>
  <c r="H12" i="9"/>
  <c r="K12" i="9" s="1"/>
  <c r="N12" i="9" s="1"/>
  <c r="Q12" i="9" s="1"/>
  <c r="H13" i="9"/>
  <c r="K13" i="9" s="1"/>
  <c r="N13" i="9" s="1"/>
  <c r="Q13" i="9" s="1"/>
  <c r="H14" i="9"/>
  <c r="K14" i="9" s="1"/>
  <c r="N14" i="9" s="1"/>
  <c r="Q14" i="9" s="1"/>
  <c r="H15" i="9"/>
  <c r="K15" i="9" s="1"/>
  <c r="N15" i="9" s="1"/>
  <c r="Q15" i="9" s="1"/>
  <c r="H16" i="9"/>
  <c r="K16" i="9" s="1"/>
  <c r="N16" i="9" s="1"/>
  <c r="Q16" i="9" s="1"/>
  <c r="H17" i="9"/>
  <c r="K17" i="9" s="1"/>
  <c r="N17" i="9" s="1"/>
  <c r="Q17" i="9" s="1"/>
  <c r="H18" i="9"/>
  <c r="K18" i="9" s="1"/>
  <c r="N18" i="9" s="1"/>
  <c r="Q18" i="9" s="1"/>
  <c r="H19" i="9"/>
  <c r="K19" i="9" s="1"/>
  <c r="N19" i="9" s="1"/>
  <c r="Q19" i="9" s="1"/>
  <c r="H20" i="9"/>
  <c r="K20" i="9" s="1"/>
  <c r="N20" i="9" s="1"/>
  <c r="Q20" i="9" s="1"/>
  <c r="H21" i="9"/>
  <c r="K21" i="9" s="1"/>
  <c r="N21" i="9" s="1"/>
  <c r="Q21" i="9" s="1"/>
  <c r="H22" i="9"/>
  <c r="K22" i="9" s="1"/>
  <c r="N22" i="9" s="1"/>
  <c r="Q22" i="9" s="1"/>
  <c r="H23" i="9"/>
  <c r="K23" i="9" s="1"/>
  <c r="N23" i="9" s="1"/>
  <c r="Q23" i="9" s="1"/>
  <c r="H24" i="9"/>
  <c r="K24" i="9" s="1"/>
  <c r="N24" i="9" s="1"/>
  <c r="Q24" i="9" s="1"/>
  <c r="H25" i="9"/>
  <c r="K25" i="9" s="1"/>
  <c r="N25" i="9" s="1"/>
  <c r="Q25" i="9" s="1"/>
  <c r="H26" i="9"/>
  <c r="K26" i="9" s="1"/>
  <c r="N26" i="9" s="1"/>
  <c r="Q26" i="9" s="1"/>
  <c r="H27" i="9"/>
  <c r="K27" i="9" s="1"/>
  <c r="N27" i="9" s="1"/>
  <c r="Q27" i="9" s="1"/>
  <c r="H28" i="9"/>
  <c r="K28" i="9" s="1"/>
  <c r="N28" i="9" s="1"/>
  <c r="Q28" i="9" s="1"/>
  <c r="H4" i="9"/>
  <c r="K4" i="9" s="1"/>
  <c r="N4" i="9" s="1"/>
  <c r="Q4" i="9" s="1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4" i="7"/>
  <c r="J25" i="5"/>
  <c r="N25" i="5" s="1"/>
  <c r="R25" i="5" s="1"/>
  <c r="V25" i="5" s="1"/>
  <c r="F25" i="5"/>
  <c r="J24" i="5"/>
  <c r="N24" i="5" s="1"/>
  <c r="R24" i="5" s="1"/>
  <c r="V24" i="5" s="1"/>
  <c r="F24" i="5"/>
  <c r="E13" i="5"/>
  <c r="E28" i="5" s="1"/>
  <c r="J3" i="5"/>
  <c r="N3" i="5" s="1"/>
  <c r="R3" i="5" s="1"/>
  <c r="V3" i="5" s="1"/>
  <c r="J4" i="5"/>
  <c r="N4" i="5" s="1"/>
  <c r="R4" i="5" s="1"/>
  <c r="V4" i="5" s="1"/>
  <c r="J5" i="5"/>
  <c r="N5" i="5" s="1"/>
  <c r="R5" i="5" s="1"/>
  <c r="V5" i="5" s="1"/>
  <c r="J7" i="5"/>
  <c r="N7" i="5" s="1"/>
  <c r="R7" i="5" s="1"/>
  <c r="V7" i="5" s="1"/>
  <c r="J8" i="5"/>
  <c r="N8" i="5" s="1"/>
  <c r="R8" i="5" s="1"/>
  <c r="V8" i="5" s="1"/>
  <c r="J9" i="5"/>
  <c r="N9" i="5" s="1"/>
  <c r="R9" i="5" s="1"/>
  <c r="V9" i="5" s="1"/>
  <c r="J10" i="5"/>
  <c r="N10" i="5" s="1"/>
  <c r="R10" i="5" s="1"/>
  <c r="V10" i="5" s="1"/>
  <c r="J11" i="5"/>
  <c r="N11" i="5" s="1"/>
  <c r="R11" i="5" s="1"/>
  <c r="V11" i="5" s="1"/>
  <c r="J12" i="5"/>
  <c r="N12" i="5" s="1"/>
  <c r="R12" i="5" s="1"/>
  <c r="V12" i="5" s="1"/>
  <c r="J13" i="5"/>
  <c r="N13" i="5" s="1"/>
  <c r="R13" i="5" s="1"/>
  <c r="V13" i="5" s="1"/>
  <c r="J14" i="5"/>
  <c r="N14" i="5" s="1"/>
  <c r="R14" i="5" s="1"/>
  <c r="V14" i="5" s="1"/>
  <c r="J15" i="5"/>
  <c r="N15" i="5" s="1"/>
  <c r="R15" i="5" s="1"/>
  <c r="V15" i="5" s="1"/>
  <c r="J16" i="5"/>
  <c r="N16" i="5" s="1"/>
  <c r="R16" i="5" s="1"/>
  <c r="V16" i="5" s="1"/>
  <c r="J17" i="5"/>
  <c r="N17" i="5" s="1"/>
  <c r="R17" i="5" s="1"/>
  <c r="V17" i="5" s="1"/>
  <c r="J18" i="5"/>
  <c r="N18" i="5" s="1"/>
  <c r="R18" i="5" s="1"/>
  <c r="V18" i="5" s="1"/>
  <c r="J19" i="5"/>
  <c r="N19" i="5" s="1"/>
  <c r="R19" i="5" s="1"/>
  <c r="V19" i="5" s="1"/>
  <c r="J20" i="5"/>
  <c r="N20" i="5" s="1"/>
  <c r="R20" i="5" s="1"/>
  <c r="V20" i="5" s="1"/>
  <c r="J21" i="5"/>
  <c r="N21" i="5" s="1"/>
  <c r="R21" i="5" s="1"/>
  <c r="V21" i="5" s="1"/>
  <c r="J22" i="5"/>
  <c r="N22" i="5" s="1"/>
  <c r="R22" i="5" s="1"/>
  <c r="V22" i="5" s="1"/>
  <c r="J23" i="5"/>
  <c r="N23" i="5" s="1"/>
  <c r="R23" i="5" s="1"/>
  <c r="V23" i="5" s="1"/>
  <c r="J26" i="5"/>
  <c r="N26" i="5" s="1"/>
  <c r="R26" i="5" s="1"/>
  <c r="V26" i="5" s="1"/>
  <c r="J27" i="5"/>
  <c r="N27" i="5" s="1"/>
  <c r="R27" i="5" s="1"/>
  <c r="V27" i="5" s="1"/>
  <c r="J6" i="5"/>
  <c r="N6" i="5" s="1"/>
  <c r="R6" i="5" s="1"/>
  <c r="V6" i="5" s="1"/>
  <c r="F4" i="5"/>
  <c r="F5" i="5"/>
  <c r="F6" i="5"/>
  <c r="F7" i="5"/>
  <c r="F8" i="5"/>
  <c r="F9" i="5"/>
  <c r="F10" i="5"/>
  <c r="F11" i="5"/>
  <c r="F12" i="5"/>
  <c r="F14" i="5"/>
  <c r="F15" i="5"/>
  <c r="F16" i="5"/>
  <c r="F17" i="5"/>
  <c r="F18" i="5"/>
  <c r="F19" i="5"/>
  <c r="F20" i="5"/>
  <c r="F21" i="5"/>
  <c r="F22" i="5"/>
  <c r="F23" i="5"/>
  <c r="F26" i="5"/>
  <c r="F27" i="5"/>
  <c r="F3" i="5"/>
  <c r="AF44" i="11" l="1"/>
  <c r="T43" i="11"/>
  <c r="T47" i="11"/>
  <c r="AF45" i="11"/>
  <c r="N47" i="9"/>
  <c r="K44" i="9"/>
  <c r="K46" i="9"/>
  <c r="Q48" i="9"/>
  <c r="E29" i="7"/>
  <c r="K47" i="7"/>
  <c r="N47" i="7"/>
  <c r="K33" i="7"/>
  <c r="K32" i="7"/>
  <c r="K31" i="7"/>
  <c r="Q47" i="7"/>
  <c r="N44" i="7"/>
  <c r="K29" i="7"/>
  <c r="J32" i="5"/>
  <c r="V29" i="5"/>
  <c r="J30" i="5"/>
  <c r="J29" i="5"/>
  <c r="N44" i="5"/>
  <c r="J28" i="5"/>
  <c r="J31" i="5"/>
  <c r="F28" i="5"/>
  <c r="V32" i="5"/>
  <c r="V31" i="5"/>
  <c r="V30" i="5"/>
  <c r="R31" i="5"/>
  <c r="R30" i="5"/>
  <c r="R29" i="5"/>
  <c r="R28" i="5"/>
  <c r="R32" i="5"/>
  <c r="N45" i="5"/>
  <c r="N28" i="5"/>
  <c r="R45" i="5"/>
  <c r="N32" i="5"/>
  <c r="N31" i="5"/>
  <c r="N46" i="5"/>
  <c r="F13" i="5"/>
  <c r="N43" i="5"/>
  <c r="AF43" i="11"/>
  <c r="T44" i="11"/>
  <c r="AF47" i="11"/>
  <c r="AF46" i="11"/>
  <c r="Z44" i="11"/>
  <c r="Z47" i="11"/>
  <c r="Z45" i="11"/>
  <c r="Z46" i="11"/>
  <c r="T45" i="11"/>
  <c r="T46" i="11"/>
</calcChain>
</file>

<file path=xl/sharedStrings.xml><?xml version="1.0" encoding="utf-8"?>
<sst xmlns="http://schemas.openxmlformats.org/spreadsheetml/2006/main" count="815" uniqueCount="51">
  <si>
    <t>Model Size</t>
  </si>
  <si>
    <t>1 rack</t>
  </si>
  <si>
    <t>MR1</t>
  </si>
  <si>
    <t>MR2</t>
  </si>
  <si>
    <t>MR3</t>
  </si>
  <si>
    <t>MR4</t>
  </si>
  <si>
    <t>MR5</t>
  </si>
  <si>
    <t>LLM</t>
  </si>
  <si>
    <t>gpt-4.1-mini</t>
  </si>
  <si>
    <t>gpt-5-mini</t>
  </si>
  <si>
    <t>gpt-5-nano</t>
  </si>
  <si>
    <t>gpt-4o-mini</t>
  </si>
  <si>
    <t>5 racks</t>
  </si>
  <si>
    <t>10 racks</t>
  </si>
  <si>
    <t>20 racks</t>
  </si>
  <si>
    <t>50 racks</t>
  </si>
  <si>
    <t>Total accuracy (% out of 20)</t>
  </si>
  <si>
    <t>First attempt</t>
  </si>
  <si>
    <t>repair 1</t>
  </si>
  <si>
    <t>repair 2</t>
  </si>
  <si>
    <t>repair 3</t>
  </si>
  <si>
    <t>--</t>
  </si>
  <si>
    <t>o4-mini</t>
  </si>
  <si>
    <t>Total %</t>
  </si>
  <si>
    <t>%</t>
  </si>
  <si>
    <t>Nano</t>
  </si>
  <si>
    <t>Small</t>
  </si>
  <si>
    <t>Mid</t>
  </si>
  <si>
    <t>Large</t>
  </si>
  <si>
    <t>Xlarge</t>
  </si>
  <si>
    <t>01_tiny</t>
  </si>
  <si>
    <t>02_small</t>
  </si>
  <si>
    <t>03_average</t>
  </si>
  <si>
    <t>04_big</t>
  </si>
  <si>
    <t>05_huge</t>
  </si>
  <si>
    <t>Automata models</t>
  </si>
  <si>
    <t>We could only generate one follow-up of each seed, because of the form of the MRs</t>
  </si>
  <si>
    <t>Word models</t>
  </si>
  <si>
    <t>Total acc. (% out of 6)</t>
  </si>
  <si>
    <t>TOTAL</t>
  </si>
  <si>
    <t>Total</t>
  </si>
  <si>
    <t>total</t>
  </si>
  <si>
    <t># of unsuccessful 
repair 
cycles</t>
  </si>
  <si>
    <t># of 
repair cycles</t>
  </si>
  <si>
    <t>% of 
unsuccessful 
repair cycles</t>
  </si>
  <si>
    <t>XMI Repairs</t>
  </si>
  <si>
    <t>Total XMI Repairs</t>
  </si>
  <si>
    <t>Follow-ups with repairs</t>
  </si>
  <si>
    <t>% FUPs with repairs for Nano</t>
  </si>
  <si>
    <t>% FUPs with repairs (overall)</t>
  </si>
  <si>
    <t>XMI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</si>
</sst>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12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31" xfId="0" quotePrefix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4" xfId="0" quotePrefix="1" applyBorder="1" applyAlignment="1">
      <alignment horizontal="center"/>
    </xf>
    <xf numFmtId="0" fontId="0" fillId="0" borderId="35" xfId="0" quotePrefix="1" applyBorder="1" applyAlignment="1">
      <alignment horizontal="center"/>
    </xf>
    <xf numFmtId="0" fontId="0" fillId="0" borderId="36" xfId="0" quotePrefix="1" applyBorder="1" applyAlignment="1">
      <alignment horizontal="center"/>
    </xf>
    <xf numFmtId="0" fontId="0" fillId="0" borderId="29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8" xfId="0" quotePrefix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32" xfId="0" quotePrefix="1" applyBorder="1" applyAlignment="1">
      <alignment horizontal="center"/>
    </xf>
    <xf numFmtId="0" fontId="0" fillId="3" borderId="47" xfId="0" applyFill="1" applyBorder="1"/>
    <xf numFmtId="0" fontId="0" fillId="0" borderId="5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48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3" borderId="20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54" xfId="0" applyFill="1" applyBorder="1"/>
    <xf numFmtId="0" fontId="0" fillId="3" borderId="8" xfId="0" applyFill="1" applyBorder="1"/>
    <xf numFmtId="0" fontId="0" fillId="8" borderId="47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51" xfId="0" applyFill="1" applyBorder="1" applyAlignment="1">
      <alignment horizontal="center"/>
    </xf>
    <xf numFmtId="0" fontId="0" fillId="8" borderId="52" xfId="0" applyFill="1" applyBorder="1" applyAlignment="1">
      <alignment horizontal="center"/>
    </xf>
    <xf numFmtId="0" fontId="0" fillId="0" borderId="58" xfId="0" quotePrefix="1" applyBorder="1" applyAlignment="1">
      <alignment horizontal="center"/>
    </xf>
    <xf numFmtId="0" fontId="0" fillId="0" borderId="45" xfId="0" quotePrefix="1" applyBorder="1" applyAlignment="1">
      <alignment horizontal="center"/>
    </xf>
    <xf numFmtId="0" fontId="0" fillId="0" borderId="51" xfId="0" quotePrefix="1" applyBorder="1" applyAlignment="1">
      <alignment horizontal="center"/>
    </xf>
    <xf numFmtId="0" fontId="0" fillId="0" borderId="52" xfId="0" quotePrefix="1" applyBorder="1" applyAlignment="1">
      <alignment horizontal="center"/>
    </xf>
    <xf numFmtId="0" fontId="0" fillId="3" borderId="55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61" xfId="0" applyFill="1" applyBorder="1"/>
    <xf numFmtId="0" fontId="0" fillId="0" borderId="38" xfId="0" quotePrefix="1" applyBorder="1" applyAlignment="1">
      <alignment horizontal="center"/>
    </xf>
    <xf numFmtId="0" fontId="0" fillId="8" borderId="28" xfId="0" applyFill="1" applyBorder="1"/>
    <xf numFmtId="0" fontId="0" fillId="8" borderId="4" xfId="0" applyFill="1" applyBorder="1"/>
    <xf numFmtId="0" fontId="0" fillId="8" borderId="18" xfId="0" applyFill="1" applyBorder="1"/>
    <xf numFmtId="0" fontId="0" fillId="8" borderId="37" xfId="0" applyFill="1" applyBorder="1"/>
    <xf numFmtId="0" fontId="0" fillId="8" borderId="1" xfId="0" applyFill="1" applyBorder="1"/>
    <xf numFmtId="0" fontId="0" fillId="8" borderId="16" xfId="0" applyFill="1" applyBorder="1"/>
    <xf numFmtId="0" fontId="0" fillId="8" borderId="51" xfId="0" applyFill="1" applyBorder="1"/>
    <xf numFmtId="0" fontId="0" fillId="8" borderId="17" xfId="0" applyFill="1" applyBorder="1"/>
    <xf numFmtId="0" fontId="0" fillId="0" borderId="62" xfId="0" applyBorder="1"/>
    <xf numFmtId="0" fontId="0" fillId="0" borderId="24" xfId="0" applyBorder="1"/>
    <xf numFmtId="0" fontId="0" fillId="3" borderId="39" xfId="0" applyFill="1" applyBorder="1"/>
    <xf numFmtId="0" fontId="0" fillId="3" borderId="43" xfId="0" applyFill="1" applyBorder="1"/>
    <xf numFmtId="0" fontId="0" fillId="3" borderId="56" xfId="0" applyFill="1" applyBorder="1"/>
    <xf numFmtId="0" fontId="0" fillId="3" borderId="57" xfId="0" applyFill="1" applyBorder="1"/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8" borderId="29" xfId="0" applyFill="1" applyBorder="1"/>
    <xf numFmtId="0" fontId="0" fillId="8" borderId="32" xfId="0" applyFill="1" applyBorder="1"/>
    <xf numFmtId="0" fontId="0" fillId="8" borderId="52" xfId="0" applyFill="1" applyBorder="1"/>
    <xf numFmtId="0" fontId="0" fillId="9" borderId="39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9" borderId="5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8" borderId="64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8" borderId="49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8" borderId="65" xfId="0" applyFill="1" applyBorder="1" applyAlignment="1">
      <alignment horizontal="center"/>
    </xf>
    <xf numFmtId="0" fontId="0" fillId="4" borderId="66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3" borderId="69" xfId="0" applyFill="1" applyBorder="1"/>
    <xf numFmtId="0" fontId="0" fillId="4" borderId="70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0" fontId="0" fillId="8" borderId="70" xfId="0" applyFill="1" applyBorder="1" applyAlignment="1">
      <alignment horizontal="center"/>
    </xf>
    <xf numFmtId="0" fontId="0" fillId="8" borderId="64" xfId="0" applyFill="1" applyBorder="1"/>
    <xf numFmtId="0" fontId="0" fillId="8" borderId="38" xfId="0" applyFill="1" applyBorder="1"/>
    <xf numFmtId="0" fontId="0" fillId="8" borderId="49" xfId="0" applyFill="1" applyBorder="1"/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0" fillId="9" borderId="69" xfId="0" applyFill="1" applyBorder="1" applyAlignment="1">
      <alignment horizontal="center"/>
    </xf>
    <xf numFmtId="0" fontId="0" fillId="8" borderId="65" xfId="0" applyFill="1" applyBorder="1"/>
    <xf numFmtId="0" fontId="0" fillId="8" borderId="48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0" xfId="0" applyAlignment="1">
      <alignment horizontal="left"/>
    </xf>
    <xf numFmtId="0" fontId="1" fillId="2" borderId="62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11" borderId="17" xfId="0" applyFont="1" applyFill="1" applyBorder="1" applyAlignment="1">
      <alignment horizontal="center"/>
    </xf>
    <xf numFmtId="0" fontId="1" fillId="11" borderId="61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0" fontId="1" fillId="12" borderId="73" xfId="0" applyFont="1" applyFill="1" applyBorder="1" applyAlignment="1">
      <alignment horizontal="center"/>
    </xf>
    <xf numFmtId="0" fontId="1" fillId="12" borderId="6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6904-C6DC-4243-8E66-4B066204C9B0}">
  <dimension ref="A1:AK60"/>
  <sheetViews>
    <sheetView tabSelected="1" zoomScale="90" zoomScaleNormal="90" workbookViewId="0">
      <selection activeCell="AM12" sqref="AM12"/>
    </sheetView>
  </sheetViews>
  <sheetFormatPr baseColWidth="10" defaultRowHeight="15" x14ac:dyDescent="0.25"/>
  <cols>
    <col min="1" max="1" width="9.85546875" customWidth="1"/>
    <col min="2" max="2" width="12.42578125" customWidth="1"/>
    <col min="3" max="7" width="5.85546875" style="1" customWidth="1"/>
    <col min="8" max="8" width="7.28515625" style="1" customWidth="1"/>
    <col min="9" max="18" width="5.85546875" style="1" customWidth="1"/>
    <col min="19" max="19" width="5.85546875" customWidth="1"/>
    <col min="20" max="37" width="5.85546875" style="1" customWidth="1"/>
  </cols>
  <sheetData>
    <row r="1" spans="1:37" ht="15.75" thickBot="1" x14ac:dyDescent="0.3">
      <c r="C1" s="185" t="s">
        <v>16</v>
      </c>
      <c r="D1" s="186"/>
      <c r="E1" s="186"/>
      <c r="F1" s="186"/>
      <c r="G1" s="186"/>
      <c r="H1" s="187"/>
      <c r="I1" s="188" t="s">
        <v>17</v>
      </c>
      <c r="J1" s="189"/>
      <c r="K1" s="189"/>
      <c r="L1" s="189"/>
      <c r="M1" s="189"/>
      <c r="N1" s="190"/>
      <c r="O1" s="191" t="s">
        <v>18</v>
      </c>
      <c r="P1" s="192"/>
      <c r="Q1" s="192"/>
      <c r="R1" s="192"/>
      <c r="S1" s="192"/>
      <c r="T1" s="193"/>
      <c r="U1" s="194" t="s">
        <v>19</v>
      </c>
      <c r="V1" s="195"/>
      <c r="W1" s="195"/>
      <c r="X1" s="195"/>
      <c r="Y1" s="195"/>
      <c r="Z1" s="196"/>
      <c r="AA1" s="197" t="s">
        <v>20</v>
      </c>
      <c r="AB1" s="198"/>
      <c r="AC1" s="198"/>
      <c r="AD1" s="198"/>
      <c r="AE1" s="198"/>
      <c r="AF1" s="198"/>
      <c r="AG1" s="182" t="s">
        <v>45</v>
      </c>
      <c r="AH1" s="183"/>
      <c r="AI1" s="183"/>
      <c r="AJ1" s="183"/>
      <c r="AK1" s="184"/>
    </row>
    <row r="2" spans="1:37" ht="15.75" thickBot="1" x14ac:dyDescent="0.3">
      <c r="A2" s="6" t="s">
        <v>0</v>
      </c>
      <c r="B2" s="17" t="s">
        <v>7</v>
      </c>
      <c r="C2" s="57" t="s">
        <v>2</v>
      </c>
      <c r="D2" s="8" t="s">
        <v>3</v>
      </c>
      <c r="E2" s="8" t="s">
        <v>4</v>
      </c>
      <c r="F2" s="8" t="s">
        <v>5</v>
      </c>
      <c r="G2" s="16" t="s">
        <v>6</v>
      </c>
      <c r="H2" s="17" t="s">
        <v>23</v>
      </c>
      <c r="I2" s="8" t="s">
        <v>2</v>
      </c>
      <c r="J2" s="8" t="s">
        <v>3</v>
      </c>
      <c r="K2" s="8" t="s">
        <v>4</v>
      </c>
      <c r="L2" s="8" t="s">
        <v>5</v>
      </c>
      <c r="M2" s="16" t="s">
        <v>6</v>
      </c>
      <c r="N2" s="17" t="s">
        <v>24</v>
      </c>
      <c r="O2" s="8" t="s">
        <v>2</v>
      </c>
      <c r="P2" s="8" t="s">
        <v>3</v>
      </c>
      <c r="Q2" s="8" t="s">
        <v>4</v>
      </c>
      <c r="R2" s="8" t="s">
        <v>5</v>
      </c>
      <c r="S2" s="16" t="s">
        <v>6</v>
      </c>
      <c r="T2" s="17" t="s">
        <v>24</v>
      </c>
      <c r="U2" s="8" t="s">
        <v>2</v>
      </c>
      <c r="V2" s="8" t="s">
        <v>3</v>
      </c>
      <c r="W2" s="8" t="s">
        <v>4</v>
      </c>
      <c r="X2" s="8" t="s">
        <v>5</v>
      </c>
      <c r="Y2" s="16" t="s">
        <v>6</v>
      </c>
      <c r="Z2" s="17" t="s">
        <v>24</v>
      </c>
      <c r="AA2" s="40" t="s">
        <v>2</v>
      </c>
      <c r="AB2" s="40" t="s">
        <v>3</v>
      </c>
      <c r="AC2" s="40" t="s">
        <v>4</v>
      </c>
      <c r="AD2" s="40" t="s">
        <v>5</v>
      </c>
      <c r="AE2" s="41" t="s">
        <v>6</v>
      </c>
      <c r="AF2" s="17" t="s">
        <v>24</v>
      </c>
      <c r="AG2" s="165" t="s">
        <v>2</v>
      </c>
      <c r="AH2" s="40" t="s">
        <v>3</v>
      </c>
      <c r="AI2" s="40" t="s">
        <v>4</v>
      </c>
      <c r="AJ2" s="40" t="s">
        <v>5</v>
      </c>
      <c r="AK2" s="41" t="s">
        <v>6</v>
      </c>
    </row>
    <row r="3" spans="1:37" x14ac:dyDescent="0.25">
      <c r="A3" s="178" t="s">
        <v>1</v>
      </c>
      <c r="B3" s="63" t="s">
        <v>10</v>
      </c>
      <c r="C3" s="58">
        <v>100</v>
      </c>
      <c r="D3" s="3">
        <v>100</v>
      </c>
      <c r="E3" s="3">
        <v>100</v>
      </c>
      <c r="F3" s="3">
        <v>100</v>
      </c>
      <c r="G3" s="12">
        <v>100</v>
      </c>
      <c r="H3" s="19">
        <f>SUM(C3:G3)/5</f>
        <v>100</v>
      </c>
      <c r="I3" s="3">
        <v>15</v>
      </c>
      <c r="J3" s="3">
        <v>20</v>
      </c>
      <c r="K3" s="3">
        <v>20</v>
      </c>
      <c r="L3" s="3">
        <v>19</v>
      </c>
      <c r="M3" s="12">
        <v>17</v>
      </c>
      <c r="N3" s="19">
        <f>SUM(I3:M3)</f>
        <v>91</v>
      </c>
      <c r="O3" s="3">
        <v>3</v>
      </c>
      <c r="P3" s="21" t="s">
        <v>21</v>
      </c>
      <c r="Q3" s="21" t="s">
        <v>21</v>
      </c>
      <c r="R3" s="3">
        <v>0</v>
      </c>
      <c r="S3" s="21">
        <v>0</v>
      </c>
      <c r="T3" s="19">
        <f>N3+SUM(O3:S3)</f>
        <v>94</v>
      </c>
      <c r="U3" s="3">
        <v>2</v>
      </c>
      <c r="V3" s="21" t="s">
        <v>21</v>
      </c>
      <c r="W3" s="21" t="s">
        <v>21</v>
      </c>
      <c r="X3" s="3">
        <v>1</v>
      </c>
      <c r="Y3" s="12">
        <v>3</v>
      </c>
      <c r="Z3" s="38">
        <f>T3+SUM(U3:Y3)</f>
        <v>100</v>
      </c>
      <c r="AA3" s="36" t="s">
        <v>21</v>
      </c>
      <c r="AB3" s="23" t="s">
        <v>21</v>
      </c>
      <c r="AC3" s="23" t="s">
        <v>21</v>
      </c>
      <c r="AD3" s="23" t="s">
        <v>21</v>
      </c>
      <c r="AE3" s="33" t="s">
        <v>21</v>
      </c>
      <c r="AF3" s="128">
        <f>Z3+SUM(AA3:AE3)</f>
        <v>100</v>
      </c>
      <c r="AG3" s="22">
        <v>0</v>
      </c>
      <c r="AH3" s="5">
        <v>0</v>
      </c>
      <c r="AI3" s="5">
        <v>0</v>
      </c>
      <c r="AJ3" s="5">
        <v>0</v>
      </c>
      <c r="AK3" s="24">
        <v>0</v>
      </c>
    </row>
    <row r="4" spans="1:37" x14ac:dyDescent="0.25">
      <c r="A4" s="179"/>
      <c r="B4" s="63" t="s">
        <v>22</v>
      </c>
      <c r="C4" s="58">
        <v>100</v>
      </c>
      <c r="D4" s="3">
        <v>100</v>
      </c>
      <c r="E4" s="3">
        <v>100</v>
      </c>
      <c r="F4" s="3">
        <v>100</v>
      </c>
      <c r="G4" s="12">
        <v>100</v>
      </c>
      <c r="H4" s="18">
        <f>SUM(C4:G4)/5</f>
        <v>100</v>
      </c>
      <c r="I4" s="3">
        <v>20</v>
      </c>
      <c r="J4" s="3">
        <v>20</v>
      </c>
      <c r="K4" s="3">
        <v>20</v>
      </c>
      <c r="L4" s="3">
        <v>16</v>
      </c>
      <c r="M4" s="12">
        <v>20</v>
      </c>
      <c r="N4" s="18">
        <f t="shared" ref="N4:N27" si="0">SUM(I4:M4)</f>
        <v>96</v>
      </c>
      <c r="O4" s="21" t="s">
        <v>21</v>
      </c>
      <c r="P4" s="21" t="s">
        <v>21</v>
      </c>
      <c r="Q4" s="21" t="s">
        <v>21</v>
      </c>
      <c r="R4" s="3">
        <v>0</v>
      </c>
      <c r="S4" s="21" t="s">
        <v>21</v>
      </c>
      <c r="T4" s="18">
        <f t="shared" ref="T4:T27" si="1">N4+SUM(O4:S4)</f>
        <v>96</v>
      </c>
      <c r="U4" s="21" t="s">
        <v>21</v>
      </c>
      <c r="V4" s="21" t="s">
        <v>21</v>
      </c>
      <c r="W4" s="21" t="s">
        <v>21</v>
      </c>
      <c r="X4" s="3">
        <v>4</v>
      </c>
      <c r="Y4" s="21" t="s">
        <v>21</v>
      </c>
      <c r="Z4" s="42">
        <f t="shared" ref="Z4:Z27" si="2">T4+SUM(U4:Y4)</f>
        <v>100</v>
      </c>
      <c r="AA4" s="45" t="s">
        <v>21</v>
      </c>
      <c r="AB4" s="44" t="s">
        <v>21</v>
      </c>
      <c r="AC4" s="44" t="s">
        <v>21</v>
      </c>
      <c r="AD4" s="44">
        <v>0</v>
      </c>
      <c r="AE4" s="46" t="s">
        <v>21</v>
      </c>
      <c r="AF4" s="160">
        <f t="shared" ref="AF4:AF27" si="3">Z4+SUM(AA4:AE4)</f>
        <v>100</v>
      </c>
      <c r="AG4" s="35">
        <v>0</v>
      </c>
      <c r="AH4" s="2">
        <v>0</v>
      </c>
      <c r="AI4" s="2">
        <v>0</v>
      </c>
      <c r="AJ4" s="2">
        <v>0</v>
      </c>
      <c r="AK4" s="28">
        <v>0</v>
      </c>
    </row>
    <row r="5" spans="1:37" x14ac:dyDescent="0.25">
      <c r="A5" s="179"/>
      <c r="B5" s="63" t="s">
        <v>11</v>
      </c>
      <c r="C5" s="58">
        <v>100</v>
      </c>
      <c r="D5" s="3">
        <v>75</v>
      </c>
      <c r="E5" s="3">
        <v>70</v>
      </c>
      <c r="F5" s="3">
        <v>100</v>
      </c>
      <c r="G5" s="12">
        <v>60</v>
      </c>
      <c r="H5" s="18">
        <f t="shared" ref="H5:H27" si="4">SUM(C5:G5)/5</f>
        <v>81</v>
      </c>
      <c r="I5" s="3">
        <v>0</v>
      </c>
      <c r="J5" s="3">
        <v>0</v>
      </c>
      <c r="K5" s="3">
        <v>0</v>
      </c>
      <c r="L5" s="3">
        <v>0</v>
      </c>
      <c r="M5" s="12">
        <v>0</v>
      </c>
      <c r="N5" s="18">
        <f t="shared" si="0"/>
        <v>0</v>
      </c>
      <c r="O5" s="3">
        <v>11</v>
      </c>
      <c r="P5" s="3">
        <v>4</v>
      </c>
      <c r="Q5" s="3">
        <v>6</v>
      </c>
      <c r="R5" s="3">
        <v>18</v>
      </c>
      <c r="S5" s="12">
        <v>8</v>
      </c>
      <c r="T5" s="18">
        <f t="shared" si="1"/>
        <v>47</v>
      </c>
      <c r="U5" s="21">
        <v>7</v>
      </c>
      <c r="V5" s="3">
        <v>9</v>
      </c>
      <c r="W5" s="3">
        <v>1</v>
      </c>
      <c r="X5" s="21">
        <v>0</v>
      </c>
      <c r="Y5" s="12">
        <v>1</v>
      </c>
      <c r="Z5" s="42">
        <f t="shared" si="2"/>
        <v>65</v>
      </c>
      <c r="AA5" s="45">
        <v>2</v>
      </c>
      <c r="AB5" s="2">
        <v>2</v>
      </c>
      <c r="AC5" s="2">
        <v>7</v>
      </c>
      <c r="AD5" s="44">
        <v>2</v>
      </c>
      <c r="AE5" s="28">
        <v>3</v>
      </c>
      <c r="AF5" s="160">
        <f t="shared" si="3"/>
        <v>81</v>
      </c>
      <c r="AG5" s="35">
        <v>0</v>
      </c>
      <c r="AH5" s="2">
        <v>0</v>
      </c>
      <c r="AI5" s="2">
        <v>0</v>
      </c>
      <c r="AJ5" s="2">
        <v>0</v>
      </c>
      <c r="AK5" s="28">
        <v>0</v>
      </c>
    </row>
    <row r="6" spans="1:37" x14ac:dyDescent="0.25">
      <c r="A6" s="180"/>
      <c r="B6" s="64" t="s">
        <v>8</v>
      </c>
      <c r="C6" s="59">
        <v>100</v>
      </c>
      <c r="D6" s="2">
        <v>100</v>
      </c>
      <c r="E6" s="2">
        <v>100</v>
      </c>
      <c r="F6" s="2">
        <v>100</v>
      </c>
      <c r="G6" s="13">
        <v>80</v>
      </c>
      <c r="H6" s="18">
        <f t="shared" si="4"/>
        <v>96</v>
      </c>
      <c r="I6" s="2">
        <v>19</v>
      </c>
      <c r="J6" s="2">
        <v>19</v>
      </c>
      <c r="K6" s="2">
        <v>20</v>
      </c>
      <c r="L6" s="2">
        <v>15</v>
      </c>
      <c r="M6" s="13">
        <v>16</v>
      </c>
      <c r="N6" s="18">
        <f t="shared" si="0"/>
        <v>89</v>
      </c>
      <c r="O6" s="2">
        <v>0</v>
      </c>
      <c r="P6" s="21">
        <v>0</v>
      </c>
      <c r="Q6" s="21" t="s">
        <v>21</v>
      </c>
      <c r="R6" s="2">
        <v>3</v>
      </c>
      <c r="S6" s="13">
        <v>0</v>
      </c>
      <c r="T6" s="18">
        <f t="shared" si="1"/>
        <v>92</v>
      </c>
      <c r="U6" s="2">
        <v>1</v>
      </c>
      <c r="V6" s="21">
        <v>1</v>
      </c>
      <c r="W6" s="21" t="s">
        <v>21</v>
      </c>
      <c r="X6" s="2">
        <v>2</v>
      </c>
      <c r="Y6" s="13">
        <v>0</v>
      </c>
      <c r="Z6" s="42">
        <f t="shared" si="2"/>
        <v>96</v>
      </c>
      <c r="AA6" s="45">
        <v>0</v>
      </c>
      <c r="AB6" s="44">
        <v>0</v>
      </c>
      <c r="AC6" s="44" t="s">
        <v>21</v>
      </c>
      <c r="AD6" s="44" t="s">
        <v>21</v>
      </c>
      <c r="AE6" s="28">
        <v>0</v>
      </c>
      <c r="AF6" s="160">
        <f t="shared" si="3"/>
        <v>96</v>
      </c>
      <c r="AG6" s="35">
        <v>0</v>
      </c>
      <c r="AH6" s="2">
        <v>0</v>
      </c>
      <c r="AI6" s="2">
        <v>0</v>
      </c>
      <c r="AJ6" s="2">
        <v>0</v>
      </c>
      <c r="AK6" s="28">
        <v>0</v>
      </c>
    </row>
    <row r="7" spans="1:37" ht="15.75" thickBot="1" x14ac:dyDescent="0.3">
      <c r="A7" s="181"/>
      <c r="B7" s="65" t="s">
        <v>9</v>
      </c>
      <c r="C7" s="60">
        <v>100</v>
      </c>
      <c r="D7" s="4">
        <v>100</v>
      </c>
      <c r="E7" s="4">
        <v>100</v>
      </c>
      <c r="F7" s="4">
        <v>100</v>
      </c>
      <c r="G7" s="14">
        <v>100</v>
      </c>
      <c r="H7" s="20">
        <f t="shared" si="4"/>
        <v>100</v>
      </c>
      <c r="I7" s="4">
        <v>20</v>
      </c>
      <c r="J7" s="4">
        <v>20</v>
      </c>
      <c r="K7" s="4">
        <v>20</v>
      </c>
      <c r="L7" s="4">
        <v>16</v>
      </c>
      <c r="M7" s="14">
        <v>20</v>
      </c>
      <c r="N7" s="20">
        <f t="shared" si="0"/>
        <v>96</v>
      </c>
      <c r="O7" s="32" t="s">
        <v>21</v>
      </c>
      <c r="P7" s="32" t="s">
        <v>21</v>
      </c>
      <c r="Q7" s="32" t="s">
        <v>21</v>
      </c>
      <c r="R7" s="37">
        <v>0</v>
      </c>
      <c r="S7" s="32" t="s">
        <v>21</v>
      </c>
      <c r="T7" s="20">
        <f t="shared" si="1"/>
        <v>96</v>
      </c>
      <c r="U7" s="32" t="s">
        <v>21</v>
      </c>
      <c r="V7" s="32" t="s">
        <v>21</v>
      </c>
      <c r="W7" s="32" t="s">
        <v>21</v>
      </c>
      <c r="X7" s="37">
        <v>3</v>
      </c>
      <c r="Y7" s="32" t="s">
        <v>21</v>
      </c>
      <c r="Z7" s="43">
        <f t="shared" si="2"/>
        <v>99</v>
      </c>
      <c r="AA7" s="87" t="s">
        <v>21</v>
      </c>
      <c r="AB7" s="48" t="s">
        <v>21</v>
      </c>
      <c r="AC7" s="48" t="s">
        <v>21</v>
      </c>
      <c r="AD7" s="4">
        <v>1</v>
      </c>
      <c r="AE7" s="88" t="s">
        <v>21</v>
      </c>
      <c r="AF7" s="161">
        <f t="shared" si="3"/>
        <v>100</v>
      </c>
      <c r="AG7" s="166">
        <v>0</v>
      </c>
      <c r="AH7" s="37">
        <v>0</v>
      </c>
      <c r="AI7" s="37">
        <v>0</v>
      </c>
      <c r="AJ7" s="37">
        <v>0</v>
      </c>
      <c r="AK7" s="167">
        <v>0</v>
      </c>
    </row>
    <row r="8" spans="1:37" x14ac:dyDescent="0.25">
      <c r="A8" s="178" t="s">
        <v>12</v>
      </c>
      <c r="B8" s="63" t="s">
        <v>10</v>
      </c>
      <c r="C8" s="61">
        <v>95</v>
      </c>
      <c r="D8" s="5">
        <v>100</v>
      </c>
      <c r="E8" s="5">
        <v>100</v>
      </c>
      <c r="F8" s="5">
        <v>100</v>
      </c>
      <c r="G8" s="15">
        <v>100</v>
      </c>
      <c r="H8" s="19">
        <f t="shared" si="4"/>
        <v>99</v>
      </c>
      <c r="I8" s="5">
        <v>16</v>
      </c>
      <c r="J8" s="5">
        <v>20</v>
      </c>
      <c r="K8" s="5">
        <v>20</v>
      </c>
      <c r="L8" s="5">
        <v>19</v>
      </c>
      <c r="M8" s="15">
        <v>20</v>
      </c>
      <c r="N8" s="19">
        <f t="shared" si="0"/>
        <v>95</v>
      </c>
      <c r="O8" s="22">
        <v>1</v>
      </c>
      <c r="P8" s="23" t="s">
        <v>21</v>
      </c>
      <c r="Q8" s="23" t="s">
        <v>21</v>
      </c>
      <c r="R8" s="5">
        <v>1</v>
      </c>
      <c r="S8" s="33" t="s">
        <v>21</v>
      </c>
      <c r="T8" s="19">
        <f t="shared" si="1"/>
        <v>97</v>
      </c>
      <c r="U8" s="22">
        <v>2</v>
      </c>
      <c r="V8" s="23" t="s">
        <v>21</v>
      </c>
      <c r="W8" s="23" t="s">
        <v>21</v>
      </c>
      <c r="X8" s="23" t="s">
        <v>21</v>
      </c>
      <c r="Y8" s="33" t="s">
        <v>21</v>
      </c>
      <c r="Z8" s="19">
        <f t="shared" si="2"/>
        <v>99</v>
      </c>
      <c r="AA8" s="3">
        <v>0</v>
      </c>
      <c r="AB8" s="21" t="s">
        <v>21</v>
      </c>
      <c r="AC8" s="21" t="s">
        <v>21</v>
      </c>
      <c r="AD8" s="21" t="s">
        <v>21</v>
      </c>
      <c r="AE8" s="21" t="s">
        <v>21</v>
      </c>
      <c r="AF8" s="38">
        <f t="shared" si="3"/>
        <v>99</v>
      </c>
      <c r="AG8" s="22">
        <v>0</v>
      </c>
      <c r="AH8" s="5">
        <v>0</v>
      </c>
      <c r="AI8" s="5">
        <v>0</v>
      </c>
      <c r="AJ8" s="5">
        <v>0</v>
      </c>
      <c r="AK8" s="24">
        <v>0</v>
      </c>
    </row>
    <row r="9" spans="1:37" x14ac:dyDescent="0.25">
      <c r="A9" s="179"/>
      <c r="B9" s="63" t="s">
        <v>22</v>
      </c>
      <c r="C9" s="58">
        <v>100</v>
      </c>
      <c r="D9" s="3">
        <v>100</v>
      </c>
      <c r="E9" s="3">
        <v>100</v>
      </c>
      <c r="F9" s="3">
        <v>100</v>
      </c>
      <c r="G9" s="12">
        <v>100</v>
      </c>
      <c r="H9" s="18">
        <f t="shared" si="4"/>
        <v>100</v>
      </c>
      <c r="I9" s="3">
        <v>20</v>
      </c>
      <c r="J9" s="3">
        <v>20</v>
      </c>
      <c r="K9" s="3">
        <v>20</v>
      </c>
      <c r="L9" s="3">
        <v>20</v>
      </c>
      <c r="M9" s="12">
        <v>20</v>
      </c>
      <c r="N9" s="18">
        <f t="shared" si="0"/>
        <v>100</v>
      </c>
      <c r="O9" s="21" t="s">
        <v>21</v>
      </c>
      <c r="P9" s="21" t="s">
        <v>21</v>
      </c>
      <c r="Q9" s="21" t="s">
        <v>21</v>
      </c>
      <c r="R9" s="21" t="s">
        <v>21</v>
      </c>
      <c r="S9" s="21" t="s">
        <v>21</v>
      </c>
      <c r="T9" s="18">
        <f t="shared" si="1"/>
        <v>100</v>
      </c>
      <c r="U9" s="25" t="s">
        <v>21</v>
      </c>
      <c r="V9" s="21" t="s">
        <v>21</v>
      </c>
      <c r="W9" s="21" t="s">
        <v>21</v>
      </c>
      <c r="X9" s="21" t="s">
        <v>21</v>
      </c>
      <c r="Y9" s="26" t="s">
        <v>21</v>
      </c>
      <c r="Z9" s="18">
        <f t="shared" si="2"/>
        <v>100</v>
      </c>
      <c r="AA9" s="21" t="s">
        <v>21</v>
      </c>
      <c r="AB9" s="21" t="s">
        <v>21</v>
      </c>
      <c r="AC9" s="21" t="s">
        <v>21</v>
      </c>
      <c r="AD9" s="21" t="s">
        <v>21</v>
      </c>
      <c r="AE9" s="21" t="s">
        <v>21</v>
      </c>
      <c r="AF9" s="42">
        <f t="shared" si="3"/>
        <v>100</v>
      </c>
      <c r="AG9" s="35">
        <v>0</v>
      </c>
      <c r="AH9" s="2">
        <v>0</v>
      </c>
      <c r="AI9" s="2">
        <v>0</v>
      </c>
      <c r="AJ9" s="2">
        <v>0</v>
      </c>
      <c r="AK9" s="28">
        <v>0</v>
      </c>
    </row>
    <row r="10" spans="1:37" x14ac:dyDescent="0.25">
      <c r="A10" s="179"/>
      <c r="B10" s="63" t="s">
        <v>11</v>
      </c>
      <c r="C10" s="58">
        <v>95</v>
      </c>
      <c r="D10" s="3">
        <v>5</v>
      </c>
      <c r="E10" s="3">
        <v>75</v>
      </c>
      <c r="F10" s="3">
        <v>100</v>
      </c>
      <c r="G10" s="12">
        <v>60</v>
      </c>
      <c r="H10" s="18">
        <f t="shared" si="4"/>
        <v>67</v>
      </c>
      <c r="I10" s="3">
        <v>0</v>
      </c>
      <c r="J10" s="3">
        <v>0</v>
      </c>
      <c r="K10" s="3">
        <v>0</v>
      </c>
      <c r="L10" s="3">
        <v>0</v>
      </c>
      <c r="M10" s="12">
        <v>0</v>
      </c>
      <c r="N10" s="18">
        <f t="shared" si="0"/>
        <v>0</v>
      </c>
      <c r="O10" s="34">
        <v>16</v>
      </c>
      <c r="P10" s="3">
        <v>0</v>
      </c>
      <c r="Q10" s="3">
        <v>6</v>
      </c>
      <c r="R10" s="3">
        <v>18</v>
      </c>
      <c r="S10" s="27">
        <v>4</v>
      </c>
      <c r="T10" s="18">
        <f t="shared" si="1"/>
        <v>44</v>
      </c>
      <c r="U10" s="34">
        <v>0</v>
      </c>
      <c r="V10" s="3">
        <v>1</v>
      </c>
      <c r="W10" s="3">
        <v>5</v>
      </c>
      <c r="X10" s="3">
        <v>1</v>
      </c>
      <c r="Y10" s="27">
        <v>4</v>
      </c>
      <c r="Z10" s="18">
        <f t="shared" si="2"/>
        <v>55</v>
      </c>
      <c r="AA10" s="3">
        <v>3</v>
      </c>
      <c r="AB10" s="3">
        <v>0</v>
      </c>
      <c r="AC10" s="3">
        <v>4</v>
      </c>
      <c r="AD10" s="3">
        <v>1</v>
      </c>
      <c r="AE10" s="12">
        <v>4</v>
      </c>
      <c r="AF10" s="42">
        <f t="shared" si="3"/>
        <v>67</v>
      </c>
      <c r="AG10" s="35">
        <v>0</v>
      </c>
      <c r="AH10" s="2">
        <v>0</v>
      </c>
      <c r="AI10" s="2">
        <v>0</v>
      </c>
      <c r="AJ10" s="2">
        <v>0</v>
      </c>
      <c r="AK10" s="28">
        <v>0</v>
      </c>
    </row>
    <row r="11" spans="1:37" x14ac:dyDescent="0.25">
      <c r="A11" s="180"/>
      <c r="B11" s="64" t="s">
        <v>8</v>
      </c>
      <c r="C11" s="59">
        <v>100</v>
      </c>
      <c r="D11" s="2">
        <v>100</v>
      </c>
      <c r="E11" s="2">
        <v>100</v>
      </c>
      <c r="F11" s="2">
        <v>100</v>
      </c>
      <c r="G11" s="13">
        <v>100</v>
      </c>
      <c r="H11" s="18">
        <f t="shared" si="4"/>
        <v>100</v>
      </c>
      <c r="I11" s="2">
        <v>16</v>
      </c>
      <c r="J11" s="2">
        <v>20</v>
      </c>
      <c r="K11" s="2">
        <v>13</v>
      </c>
      <c r="L11" s="2">
        <v>20</v>
      </c>
      <c r="M11" s="13">
        <v>16</v>
      </c>
      <c r="N11" s="18">
        <f t="shared" si="0"/>
        <v>85</v>
      </c>
      <c r="O11" s="35">
        <v>4</v>
      </c>
      <c r="P11" s="44" t="s">
        <v>21</v>
      </c>
      <c r="Q11" s="21">
        <v>4</v>
      </c>
      <c r="R11" s="21" t="s">
        <v>21</v>
      </c>
      <c r="S11" s="28">
        <v>3</v>
      </c>
      <c r="T11" s="18">
        <f t="shared" si="1"/>
        <v>96</v>
      </c>
      <c r="U11" s="25" t="s">
        <v>21</v>
      </c>
      <c r="V11" s="44" t="s">
        <v>21</v>
      </c>
      <c r="W11" s="21">
        <v>3</v>
      </c>
      <c r="X11" s="21" t="s">
        <v>21</v>
      </c>
      <c r="Y11" s="28">
        <v>1</v>
      </c>
      <c r="Z11" s="18">
        <f t="shared" si="2"/>
        <v>100</v>
      </c>
      <c r="AA11" s="21" t="s">
        <v>21</v>
      </c>
      <c r="AB11" s="21" t="s">
        <v>21</v>
      </c>
      <c r="AC11" s="21" t="s">
        <v>21</v>
      </c>
      <c r="AD11" s="21" t="s">
        <v>21</v>
      </c>
      <c r="AE11" s="21" t="s">
        <v>21</v>
      </c>
      <c r="AF11" s="42">
        <f t="shared" si="3"/>
        <v>100</v>
      </c>
      <c r="AG11" s="35">
        <v>0</v>
      </c>
      <c r="AH11" s="2">
        <v>0</v>
      </c>
      <c r="AI11" s="2">
        <v>0</v>
      </c>
      <c r="AJ11" s="2">
        <v>0</v>
      </c>
      <c r="AK11" s="28">
        <v>0</v>
      </c>
    </row>
    <row r="12" spans="1:37" ht="15.75" thickBot="1" x14ac:dyDescent="0.3">
      <c r="A12" s="181"/>
      <c r="B12" s="65" t="s">
        <v>9</v>
      </c>
      <c r="C12" s="60">
        <v>100</v>
      </c>
      <c r="D12" s="4">
        <v>100</v>
      </c>
      <c r="E12" s="4">
        <v>100</v>
      </c>
      <c r="F12" s="4">
        <v>100</v>
      </c>
      <c r="G12" s="14">
        <v>100</v>
      </c>
      <c r="H12" s="20">
        <f t="shared" si="4"/>
        <v>100</v>
      </c>
      <c r="I12" s="4">
        <v>20</v>
      </c>
      <c r="J12" s="4">
        <v>20</v>
      </c>
      <c r="K12" s="4">
        <v>20</v>
      </c>
      <c r="L12" s="4">
        <v>20</v>
      </c>
      <c r="M12" s="14">
        <v>20</v>
      </c>
      <c r="N12" s="20">
        <f t="shared" si="0"/>
        <v>100</v>
      </c>
      <c r="O12" s="21" t="s">
        <v>21</v>
      </c>
      <c r="P12" s="21" t="s">
        <v>21</v>
      </c>
      <c r="Q12" s="21" t="s">
        <v>21</v>
      </c>
      <c r="R12" s="21" t="s">
        <v>21</v>
      </c>
      <c r="S12" s="21" t="s">
        <v>21</v>
      </c>
      <c r="T12" s="20">
        <f t="shared" si="1"/>
        <v>100</v>
      </c>
      <c r="U12" s="29" t="s">
        <v>21</v>
      </c>
      <c r="V12" s="30" t="s">
        <v>21</v>
      </c>
      <c r="W12" s="30" t="s">
        <v>21</v>
      </c>
      <c r="X12" s="30" t="s">
        <v>21</v>
      </c>
      <c r="Y12" s="31" t="s">
        <v>21</v>
      </c>
      <c r="Z12" s="20">
        <f t="shared" si="2"/>
        <v>100</v>
      </c>
      <c r="AA12" s="32" t="s">
        <v>21</v>
      </c>
      <c r="AB12" s="32" t="s">
        <v>21</v>
      </c>
      <c r="AC12" s="32" t="s">
        <v>21</v>
      </c>
      <c r="AD12" s="32" t="s">
        <v>21</v>
      </c>
      <c r="AE12" s="32" t="s">
        <v>21</v>
      </c>
      <c r="AF12" s="43">
        <f t="shared" si="3"/>
        <v>100</v>
      </c>
      <c r="AG12" s="166">
        <v>0</v>
      </c>
      <c r="AH12" s="37">
        <v>0</v>
      </c>
      <c r="AI12" s="37">
        <v>0</v>
      </c>
      <c r="AJ12" s="37">
        <v>0</v>
      </c>
      <c r="AK12" s="167">
        <v>0</v>
      </c>
    </row>
    <row r="13" spans="1:37" x14ac:dyDescent="0.25">
      <c r="A13" s="178" t="s">
        <v>13</v>
      </c>
      <c r="B13" s="63" t="s">
        <v>10</v>
      </c>
      <c r="C13" s="61">
        <v>100</v>
      </c>
      <c r="D13" s="5">
        <v>95</v>
      </c>
      <c r="E13" s="5">
        <v>100</v>
      </c>
      <c r="F13" s="5">
        <v>75</v>
      </c>
      <c r="G13" s="15">
        <v>95</v>
      </c>
      <c r="H13" s="19">
        <f t="shared" si="4"/>
        <v>93</v>
      </c>
      <c r="I13" s="5">
        <v>16</v>
      </c>
      <c r="J13" s="5">
        <v>19</v>
      </c>
      <c r="K13" s="5">
        <v>15</v>
      </c>
      <c r="L13" s="5">
        <v>15</v>
      </c>
      <c r="M13" s="15">
        <v>17</v>
      </c>
      <c r="N13" s="19">
        <f t="shared" si="0"/>
        <v>82</v>
      </c>
      <c r="O13" s="5">
        <v>1</v>
      </c>
      <c r="P13" s="5">
        <v>0</v>
      </c>
      <c r="Q13" s="5">
        <v>3</v>
      </c>
      <c r="R13" s="5">
        <v>0</v>
      </c>
      <c r="S13" s="15">
        <v>1</v>
      </c>
      <c r="T13" s="19">
        <f t="shared" si="1"/>
        <v>87</v>
      </c>
      <c r="U13" s="5">
        <v>2</v>
      </c>
      <c r="V13" s="5">
        <v>0</v>
      </c>
      <c r="W13" s="5">
        <v>2</v>
      </c>
      <c r="X13" s="5">
        <v>0</v>
      </c>
      <c r="Y13" s="15">
        <v>1</v>
      </c>
      <c r="Z13" s="19">
        <f t="shared" si="2"/>
        <v>92</v>
      </c>
      <c r="AA13" s="22">
        <v>1</v>
      </c>
      <c r="AB13" s="5">
        <v>0</v>
      </c>
      <c r="AC13" s="23" t="s">
        <v>21</v>
      </c>
      <c r="AD13" s="5">
        <v>0</v>
      </c>
      <c r="AE13" s="24">
        <v>0</v>
      </c>
      <c r="AF13" s="38">
        <f t="shared" si="3"/>
        <v>93</v>
      </c>
      <c r="AG13" s="22">
        <v>0</v>
      </c>
      <c r="AH13" s="5">
        <v>3</v>
      </c>
      <c r="AI13" s="5">
        <v>0</v>
      </c>
      <c r="AJ13" s="5">
        <v>15</v>
      </c>
      <c r="AK13" s="24">
        <v>3</v>
      </c>
    </row>
    <row r="14" spans="1:37" x14ac:dyDescent="0.25">
      <c r="A14" s="179"/>
      <c r="B14" s="63" t="s">
        <v>22</v>
      </c>
      <c r="C14" s="58">
        <v>100</v>
      </c>
      <c r="D14" s="3">
        <v>100</v>
      </c>
      <c r="E14" s="3">
        <v>100</v>
      </c>
      <c r="F14" s="3">
        <v>100</v>
      </c>
      <c r="G14" s="12">
        <v>100</v>
      </c>
      <c r="H14" s="18">
        <f t="shared" si="4"/>
        <v>100</v>
      </c>
      <c r="I14" s="3">
        <v>20</v>
      </c>
      <c r="J14" s="3">
        <v>20</v>
      </c>
      <c r="K14" s="3">
        <v>20</v>
      </c>
      <c r="L14" s="3">
        <v>20</v>
      </c>
      <c r="M14" s="3">
        <v>20</v>
      </c>
      <c r="N14" s="18">
        <f t="shared" si="0"/>
        <v>100</v>
      </c>
      <c r="O14" s="21" t="s">
        <v>21</v>
      </c>
      <c r="P14" s="21" t="s">
        <v>21</v>
      </c>
      <c r="Q14" s="21" t="s">
        <v>21</v>
      </c>
      <c r="R14" s="21" t="s">
        <v>21</v>
      </c>
      <c r="S14" s="21" t="s">
        <v>21</v>
      </c>
      <c r="T14" s="18">
        <f t="shared" si="1"/>
        <v>100</v>
      </c>
      <c r="U14" s="21" t="s">
        <v>21</v>
      </c>
      <c r="V14" s="21" t="s">
        <v>21</v>
      </c>
      <c r="W14" s="21" t="s">
        <v>21</v>
      </c>
      <c r="X14" s="21" t="s">
        <v>21</v>
      </c>
      <c r="Y14" s="21" t="s">
        <v>21</v>
      </c>
      <c r="Z14" s="18">
        <f t="shared" si="2"/>
        <v>100</v>
      </c>
      <c r="AA14" s="25" t="s">
        <v>21</v>
      </c>
      <c r="AB14" s="21" t="s">
        <v>21</v>
      </c>
      <c r="AC14" s="21" t="s">
        <v>21</v>
      </c>
      <c r="AD14" s="21" t="s">
        <v>21</v>
      </c>
      <c r="AE14" s="26" t="s">
        <v>21</v>
      </c>
      <c r="AF14" s="42">
        <f t="shared" si="3"/>
        <v>100</v>
      </c>
      <c r="AG14" s="35">
        <v>0</v>
      </c>
      <c r="AH14" s="2">
        <v>0</v>
      </c>
      <c r="AI14" s="2">
        <v>0</v>
      </c>
      <c r="AJ14" s="2">
        <v>0</v>
      </c>
      <c r="AK14" s="28">
        <v>0</v>
      </c>
    </row>
    <row r="15" spans="1:37" x14ac:dyDescent="0.25">
      <c r="A15" s="179"/>
      <c r="B15" s="63" t="s">
        <v>11</v>
      </c>
      <c r="C15" s="58">
        <v>85</v>
      </c>
      <c r="D15" s="3">
        <v>5</v>
      </c>
      <c r="E15" s="3">
        <v>85</v>
      </c>
      <c r="F15" s="3">
        <v>75</v>
      </c>
      <c r="G15" s="12">
        <v>95</v>
      </c>
      <c r="H15" s="18">
        <f t="shared" si="4"/>
        <v>69</v>
      </c>
      <c r="I15" s="3">
        <v>0</v>
      </c>
      <c r="J15" s="3">
        <v>0</v>
      </c>
      <c r="K15" s="3">
        <v>0</v>
      </c>
      <c r="L15" s="3">
        <v>0</v>
      </c>
      <c r="M15" s="12">
        <v>0</v>
      </c>
      <c r="N15" s="18">
        <f t="shared" si="0"/>
        <v>0</v>
      </c>
      <c r="O15" s="3">
        <v>6</v>
      </c>
      <c r="P15" s="3">
        <v>1</v>
      </c>
      <c r="Q15" s="3">
        <v>7</v>
      </c>
      <c r="R15" s="3">
        <v>11</v>
      </c>
      <c r="S15" s="12">
        <v>14</v>
      </c>
      <c r="T15" s="18">
        <f t="shared" si="1"/>
        <v>39</v>
      </c>
      <c r="U15" s="3">
        <v>8</v>
      </c>
      <c r="V15" s="3">
        <v>0</v>
      </c>
      <c r="W15" s="3">
        <v>6</v>
      </c>
      <c r="X15" s="3">
        <v>4</v>
      </c>
      <c r="Y15" s="12">
        <v>3</v>
      </c>
      <c r="Z15" s="18">
        <f t="shared" si="2"/>
        <v>60</v>
      </c>
      <c r="AA15" s="34">
        <v>3</v>
      </c>
      <c r="AB15" s="3">
        <v>0</v>
      </c>
      <c r="AC15" s="3">
        <v>4</v>
      </c>
      <c r="AD15" s="3">
        <v>0</v>
      </c>
      <c r="AE15" s="27">
        <v>2</v>
      </c>
      <c r="AF15" s="42">
        <f t="shared" si="3"/>
        <v>69</v>
      </c>
      <c r="AG15" s="35">
        <v>0</v>
      </c>
      <c r="AH15" s="2">
        <v>0</v>
      </c>
      <c r="AI15" s="2">
        <v>0</v>
      </c>
      <c r="AJ15" s="2">
        <v>0</v>
      </c>
      <c r="AK15" s="28">
        <v>0</v>
      </c>
    </row>
    <row r="16" spans="1:37" x14ac:dyDescent="0.25">
      <c r="A16" s="180"/>
      <c r="B16" s="64" t="s">
        <v>8</v>
      </c>
      <c r="C16" s="59">
        <v>95</v>
      </c>
      <c r="D16" s="2">
        <v>100</v>
      </c>
      <c r="E16" s="2">
        <v>100</v>
      </c>
      <c r="F16" s="2">
        <v>95</v>
      </c>
      <c r="G16" s="13">
        <v>100</v>
      </c>
      <c r="H16" s="18">
        <f t="shared" si="4"/>
        <v>98</v>
      </c>
      <c r="I16" s="2">
        <v>12</v>
      </c>
      <c r="J16" s="2">
        <v>20</v>
      </c>
      <c r="K16" s="2">
        <v>18</v>
      </c>
      <c r="L16" s="2">
        <v>15</v>
      </c>
      <c r="M16" s="13">
        <v>17</v>
      </c>
      <c r="N16" s="18">
        <f t="shared" si="0"/>
        <v>82</v>
      </c>
      <c r="O16" s="2">
        <v>5</v>
      </c>
      <c r="P16" s="21" t="s">
        <v>21</v>
      </c>
      <c r="Q16" s="2">
        <v>0</v>
      </c>
      <c r="R16" s="2">
        <v>2</v>
      </c>
      <c r="S16" s="13">
        <v>1</v>
      </c>
      <c r="T16" s="18">
        <f t="shared" si="1"/>
        <v>90</v>
      </c>
      <c r="U16" s="2">
        <v>2</v>
      </c>
      <c r="V16" s="21" t="s">
        <v>21</v>
      </c>
      <c r="W16" s="2">
        <v>2</v>
      </c>
      <c r="X16" s="2">
        <v>2</v>
      </c>
      <c r="Y16" s="13">
        <v>2</v>
      </c>
      <c r="Z16" s="18">
        <f t="shared" si="2"/>
        <v>98</v>
      </c>
      <c r="AA16" s="35">
        <v>0</v>
      </c>
      <c r="AB16" s="21" t="s">
        <v>21</v>
      </c>
      <c r="AC16" s="21" t="s">
        <v>21</v>
      </c>
      <c r="AD16" s="2">
        <v>0</v>
      </c>
      <c r="AE16" s="26" t="s">
        <v>21</v>
      </c>
      <c r="AF16" s="42">
        <f t="shared" si="3"/>
        <v>98</v>
      </c>
      <c r="AG16" s="35">
        <v>0</v>
      </c>
      <c r="AH16" s="2">
        <v>0</v>
      </c>
      <c r="AI16" s="2">
        <v>0</v>
      </c>
      <c r="AJ16" s="2">
        <v>0</v>
      </c>
      <c r="AK16" s="28">
        <v>0</v>
      </c>
    </row>
    <row r="17" spans="1:37" ht="15.75" thickBot="1" x14ac:dyDescent="0.3">
      <c r="A17" s="181"/>
      <c r="B17" s="65" t="s">
        <v>9</v>
      </c>
      <c r="C17" s="60">
        <v>100</v>
      </c>
      <c r="D17" s="4">
        <v>100</v>
      </c>
      <c r="E17" s="4">
        <v>100</v>
      </c>
      <c r="F17" s="4">
        <v>100</v>
      </c>
      <c r="G17" s="14">
        <v>100</v>
      </c>
      <c r="H17" s="20">
        <f t="shared" si="4"/>
        <v>100</v>
      </c>
      <c r="I17" s="4">
        <v>20</v>
      </c>
      <c r="J17" s="4">
        <v>20</v>
      </c>
      <c r="K17" s="4">
        <v>20</v>
      </c>
      <c r="L17" s="4">
        <v>20</v>
      </c>
      <c r="M17" s="14">
        <v>20</v>
      </c>
      <c r="N17" s="20">
        <f t="shared" si="0"/>
        <v>100</v>
      </c>
      <c r="O17" s="21" t="s">
        <v>21</v>
      </c>
      <c r="P17" s="21" t="s">
        <v>21</v>
      </c>
      <c r="Q17" s="21" t="s">
        <v>21</v>
      </c>
      <c r="R17" s="21" t="s">
        <v>21</v>
      </c>
      <c r="S17" s="21" t="s">
        <v>21</v>
      </c>
      <c r="T17" s="20">
        <f t="shared" si="1"/>
        <v>100</v>
      </c>
      <c r="U17" s="21" t="s">
        <v>21</v>
      </c>
      <c r="V17" s="21" t="s">
        <v>21</v>
      </c>
      <c r="W17" s="21" t="s">
        <v>21</v>
      </c>
      <c r="X17" s="21" t="s">
        <v>21</v>
      </c>
      <c r="Y17" s="21" t="s">
        <v>21</v>
      </c>
      <c r="Z17" s="20">
        <f t="shared" si="2"/>
        <v>100</v>
      </c>
      <c r="AA17" s="29" t="s">
        <v>21</v>
      </c>
      <c r="AB17" s="30" t="s">
        <v>21</v>
      </c>
      <c r="AC17" s="30" t="s">
        <v>21</v>
      </c>
      <c r="AD17" s="30" t="s">
        <v>21</v>
      </c>
      <c r="AE17" s="31" t="s">
        <v>21</v>
      </c>
      <c r="AF17" s="43">
        <f t="shared" si="3"/>
        <v>100</v>
      </c>
      <c r="AG17" s="163">
        <v>0</v>
      </c>
      <c r="AH17" s="4">
        <v>0</v>
      </c>
      <c r="AI17" s="4">
        <v>0</v>
      </c>
      <c r="AJ17" s="4">
        <v>0</v>
      </c>
      <c r="AK17" s="164">
        <v>0</v>
      </c>
    </row>
    <row r="18" spans="1:37" x14ac:dyDescent="0.25">
      <c r="A18" s="178" t="s">
        <v>14</v>
      </c>
      <c r="B18" s="63" t="s">
        <v>10</v>
      </c>
      <c r="C18" s="61">
        <v>75</v>
      </c>
      <c r="D18" s="5">
        <v>70</v>
      </c>
      <c r="E18" s="5">
        <v>95</v>
      </c>
      <c r="F18" s="5">
        <v>75</v>
      </c>
      <c r="G18" s="15">
        <v>85</v>
      </c>
      <c r="H18" s="19">
        <f t="shared" si="4"/>
        <v>80</v>
      </c>
      <c r="I18" s="5">
        <v>12</v>
      </c>
      <c r="J18" s="5">
        <v>14</v>
      </c>
      <c r="K18" s="5">
        <v>17</v>
      </c>
      <c r="L18" s="5">
        <v>15</v>
      </c>
      <c r="M18" s="15">
        <v>16</v>
      </c>
      <c r="N18" s="19">
        <f t="shared" si="0"/>
        <v>74</v>
      </c>
      <c r="O18" s="5">
        <v>1</v>
      </c>
      <c r="P18" s="5">
        <v>0</v>
      </c>
      <c r="Q18" s="5">
        <v>2</v>
      </c>
      <c r="R18" s="5">
        <v>0</v>
      </c>
      <c r="S18" s="15">
        <v>1</v>
      </c>
      <c r="T18" s="19">
        <f t="shared" si="1"/>
        <v>78</v>
      </c>
      <c r="U18" s="5">
        <v>2</v>
      </c>
      <c r="V18" s="5">
        <v>0</v>
      </c>
      <c r="W18" s="5">
        <v>0</v>
      </c>
      <c r="X18" s="5">
        <v>0</v>
      </c>
      <c r="Y18" s="15">
        <v>0</v>
      </c>
      <c r="Z18" s="19">
        <f t="shared" si="2"/>
        <v>80</v>
      </c>
      <c r="AA18" s="5">
        <v>0</v>
      </c>
      <c r="AB18" s="5">
        <v>0</v>
      </c>
      <c r="AC18" s="5">
        <v>0</v>
      </c>
      <c r="AD18" s="5">
        <v>0</v>
      </c>
      <c r="AE18" s="15">
        <v>0</v>
      </c>
      <c r="AF18" s="38">
        <f t="shared" si="3"/>
        <v>80</v>
      </c>
      <c r="AG18" s="22">
        <v>6</v>
      </c>
      <c r="AH18" s="5">
        <v>6</v>
      </c>
      <c r="AI18" s="5">
        <v>3</v>
      </c>
      <c r="AJ18" s="5">
        <v>15</v>
      </c>
      <c r="AK18" s="24">
        <v>0</v>
      </c>
    </row>
    <row r="19" spans="1:37" x14ac:dyDescent="0.25">
      <c r="A19" s="179"/>
      <c r="B19" s="63" t="s">
        <v>22</v>
      </c>
      <c r="C19" s="58">
        <v>100</v>
      </c>
      <c r="D19" s="3">
        <v>100</v>
      </c>
      <c r="E19" s="3">
        <v>100</v>
      </c>
      <c r="F19" s="3">
        <v>100</v>
      </c>
      <c r="G19" s="12">
        <v>100</v>
      </c>
      <c r="H19" s="18">
        <f t="shared" si="4"/>
        <v>100</v>
      </c>
      <c r="I19" s="3">
        <v>20</v>
      </c>
      <c r="J19" s="3">
        <v>20</v>
      </c>
      <c r="K19" s="3">
        <v>20</v>
      </c>
      <c r="L19" s="3">
        <v>20</v>
      </c>
      <c r="M19" s="12">
        <v>20</v>
      </c>
      <c r="N19" s="18">
        <f t="shared" si="0"/>
        <v>100</v>
      </c>
      <c r="O19" s="21" t="s">
        <v>21</v>
      </c>
      <c r="P19" s="21" t="s">
        <v>21</v>
      </c>
      <c r="Q19" s="21" t="s">
        <v>21</v>
      </c>
      <c r="R19" s="21" t="s">
        <v>21</v>
      </c>
      <c r="S19" s="21" t="s">
        <v>21</v>
      </c>
      <c r="T19" s="18">
        <f t="shared" si="1"/>
        <v>100</v>
      </c>
      <c r="U19" s="21" t="s">
        <v>21</v>
      </c>
      <c r="V19" s="21" t="s">
        <v>21</v>
      </c>
      <c r="W19" s="21" t="s">
        <v>21</v>
      </c>
      <c r="X19" s="21" t="s">
        <v>21</v>
      </c>
      <c r="Y19" s="21" t="s">
        <v>21</v>
      </c>
      <c r="Z19" s="18">
        <f t="shared" si="2"/>
        <v>100</v>
      </c>
      <c r="AA19" s="21" t="s">
        <v>21</v>
      </c>
      <c r="AB19" s="21" t="s">
        <v>21</v>
      </c>
      <c r="AC19" s="21" t="s">
        <v>21</v>
      </c>
      <c r="AD19" s="21" t="s">
        <v>21</v>
      </c>
      <c r="AE19" s="21" t="s">
        <v>21</v>
      </c>
      <c r="AF19" s="42">
        <f t="shared" si="3"/>
        <v>100</v>
      </c>
      <c r="AG19" s="35">
        <v>0</v>
      </c>
      <c r="AH19" s="2">
        <v>0</v>
      </c>
      <c r="AI19" s="2">
        <v>0</v>
      </c>
      <c r="AJ19" s="2">
        <v>0</v>
      </c>
      <c r="AK19" s="28">
        <v>0</v>
      </c>
    </row>
    <row r="20" spans="1:37" x14ac:dyDescent="0.25">
      <c r="A20" s="179"/>
      <c r="B20" s="63" t="s">
        <v>11</v>
      </c>
      <c r="C20" s="58">
        <v>45</v>
      </c>
      <c r="D20" s="3">
        <v>10</v>
      </c>
      <c r="E20" s="3">
        <v>75</v>
      </c>
      <c r="F20" s="3">
        <v>65</v>
      </c>
      <c r="G20" s="12">
        <v>85</v>
      </c>
      <c r="H20" s="18">
        <f t="shared" si="4"/>
        <v>56</v>
      </c>
      <c r="I20" s="3">
        <v>0</v>
      </c>
      <c r="J20" s="3">
        <v>0</v>
      </c>
      <c r="K20" s="3">
        <v>0</v>
      </c>
      <c r="L20" s="3">
        <v>0</v>
      </c>
      <c r="M20" s="12">
        <v>0</v>
      </c>
      <c r="N20" s="18">
        <f t="shared" si="0"/>
        <v>0</v>
      </c>
      <c r="O20" s="3">
        <v>4</v>
      </c>
      <c r="P20" s="3">
        <v>1</v>
      </c>
      <c r="Q20" s="3">
        <v>8</v>
      </c>
      <c r="R20" s="3">
        <v>10</v>
      </c>
      <c r="S20" s="12">
        <v>7</v>
      </c>
      <c r="T20" s="18">
        <f t="shared" si="1"/>
        <v>30</v>
      </c>
      <c r="U20" s="3">
        <v>1</v>
      </c>
      <c r="V20" s="3">
        <v>1</v>
      </c>
      <c r="W20" s="3">
        <v>3</v>
      </c>
      <c r="X20" s="3">
        <v>2</v>
      </c>
      <c r="Y20" s="12">
        <v>6</v>
      </c>
      <c r="Z20" s="18">
        <f t="shared" si="2"/>
        <v>43</v>
      </c>
      <c r="AA20" s="3">
        <v>4</v>
      </c>
      <c r="AB20" s="3">
        <v>0</v>
      </c>
      <c r="AC20" s="3">
        <v>4</v>
      </c>
      <c r="AD20" s="3">
        <v>1</v>
      </c>
      <c r="AE20" s="12">
        <v>4</v>
      </c>
      <c r="AF20" s="42">
        <f t="shared" si="3"/>
        <v>56</v>
      </c>
      <c r="AG20" s="35">
        <v>0</v>
      </c>
      <c r="AH20" s="2">
        <v>0</v>
      </c>
      <c r="AI20" s="2">
        <v>0</v>
      </c>
      <c r="AJ20" s="2">
        <v>0</v>
      </c>
      <c r="AK20" s="28">
        <v>0</v>
      </c>
    </row>
    <row r="21" spans="1:37" x14ac:dyDescent="0.25">
      <c r="A21" s="180"/>
      <c r="B21" s="64" t="s">
        <v>8</v>
      </c>
      <c r="C21" s="59">
        <v>95</v>
      </c>
      <c r="D21" s="2">
        <v>95</v>
      </c>
      <c r="E21" s="2">
        <v>100</v>
      </c>
      <c r="F21" s="2">
        <v>100</v>
      </c>
      <c r="G21" s="13">
        <v>90</v>
      </c>
      <c r="H21" s="18">
        <f t="shared" si="4"/>
        <v>96</v>
      </c>
      <c r="I21" s="2">
        <v>9</v>
      </c>
      <c r="J21" s="2">
        <v>19</v>
      </c>
      <c r="K21" s="2">
        <v>13</v>
      </c>
      <c r="L21" s="2">
        <v>20</v>
      </c>
      <c r="M21" s="13">
        <v>16</v>
      </c>
      <c r="N21" s="18">
        <f t="shared" si="0"/>
        <v>77</v>
      </c>
      <c r="O21" s="2">
        <v>6</v>
      </c>
      <c r="P21" s="2">
        <v>0</v>
      </c>
      <c r="Q21" s="2">
        <v>6</v>
      </c>
      <c r="R21" s="21" t="s">
        <v>21</v>
      </c>
      <c r="S21" s="13">
        <v>2</v>
      </c>
      <c r="T21" s="18">
        <f t="shared" si="1"/>
        <v>91</v>
      </c>
      <c r="U21" s="2">
        <v>3</v>
      </c>
      <c r="V21" s="2">
        <v>0</v>
      </c>
      <c r="W21" s="2">
        <v>1</v>
      </c>
      <c r="X21" s="21" t="s">
        <v>21</v>
      </c>
      <c r="Y21" s="13">
        <v>0</v>
      </c>
      <c r="Z21" s="18">
        <f t="shared" si="2"/>
        <v>95</v>
      </c>
      <c r="AA21" s="2">
        <v>1</v>
      </c>
      <c r="AB21" s="2">
        <v>0</v>
      </c>
      <c r="AC21" s="21" t="s">
        <v>21</v>
      </c>
      <c r="AD21" s="21" t="s">
        <v>21</v>
      </c>
      <c r="AE21" s="13">
        <v>0</v>
      </c>
      <c r="AF21" s="42">
        <f t="shared" si="3"/>
        <v>96</v>
      </c>
      <c r="AG21" s="35">
        <v>0</v>
      </c>
      <c r="AH21" s="2">
        <v>0</v>
      </c>
      <c r="AI21" s="2">
        <v>0</v>
      </c>
      <c r="AJ21" s="2">
        <v>0</v>
      </c>
      <c r="AK21" s="28">
        <v>0</v>
      </c>
    </row>
    <row r="22" spans="1:37" ht="15.75" thickBot="1" x14ac:dyDescent="0.3">
      <c r="A22" s="181"/>
      <c r="B22" s="65" t="s">
        <v>9</v>
      </c>
      <c r="C22" s="60">
        <v>100</v>
      </c>
      <c r="D22" s="4">
        <v>100</v>
      </c>
      <c r="E22" s="4">
        <v>95</v>
      </c>
      <c r="F22" s="4">
        <v>100</v>
      </c>
      <c r="G22" s="14">
        <v>100</v>
      </c>
      <c r="H22" s="20">
        <f t="shared" si="4"/>
        <v>99</v>
      </c>
      <c r="I22" s="4">
        <v>20</v>
      </c>
      <c r="J22" s="4">
        <v>20</v>
      </c>
      <c r="K22" s="4">
        <v>19</v>
      </c>
      <c r="L22" s="4">
        <v>20</v>
      </c>
      <c r="M22" s="14">
        <v>20</v>
      </c>
      <c r="N22" s="20">
        <f t="shared" si="0"/>
        <v>99</v>
      </c>
      <c r="O22" s="21" t="s">
        <v>21</v>
      </c>
      <c r="P22" s="21" t="s">
        <v>21</v>
      </c>
      <c r="Q22" s="4">
        <v>0</v>
      </c>
      <c r="R22" s="21" t="s">
        <v>21</v>
      </c>
      <c r="S22" s="21" t="s">
        <v>21</v>
      </c>
      <c r="T22" s="20">
        <f t="shared" si="1"/>
        <v>99</v>
      </c>
      <c r="U22" s="21" t="s">
        <v>21</v>
      </c>
      <c r="V22" s="21" t="s">
        <v>21</v>
      </c>
      <c r="W22" s="4">
        <v>0</v>
      </c>
      <c r="X22" s="21" t="s">
        <v>21</v>
      </c>
      <c r="Y22" s="21" t="s">
        <v>21</v>
      </c>
      <c r="Z22" s="20">
        <f t="shared" si="2"/>
        <v>99</v>
      </c>
      <c r="AA22" s="21" t="s">
        <v>21</v>
      </c>
      <c r="AB22" s="21" t="s">
        <v>21</v>
      </c>
      <c r="AC22" s="4">
        <v>0</v>
      </c>
      <c r="AD22" s="21" t="s">
        <v>21</v>
      </c>
      <c r="AE22" s="21" t="s">
        <v>21</v>
      </c>
      <c r="AF22" s="43">
        <f t="shared" si="3"/>
        <v>99</v>
      </c>
      <c r="AG22" s="163">
        <v>0</v>
      </c>
      <c r="AH22" s="4">
        <v>0</v>
      </c>
      <c r="AI22" s="4">
        <v>0</v>
      </c>
      <c r="AJ22" s="4">
        <v>0</v>
      </c>
      <c r="AK22" s="164">
        <v>0</v>
      </c>
    </row>
    <row r="23" spans="1:37" x14ac:dyDescent="0.25">
      <c r="A23" s="178" t="s">
        <v>15</v>
      </c>
      <c r="B23" s="63" t="s">
        <v>10</v>
      </c>
      <c r="C23" s="61">
        <v>15</v>
      </c>
      <c r="D23" s="5">
        <v>0</v>
      </c>
      <c r="E23" s="5">
        <v>30</v>
      </c>
      <c r="F23" s="5">
        <v>20</v>
      </c>
      <c r="G23" s="15">
        <v>5</v>
      </c>
      <c r="H23" s="18">
        <f t="shared" si="4"/>
        <v>14</v>
      </c>
      <c r="I23" s="5">
        <v>0</v>
      </c>
      <c r="J23" s="5">
        <v>0</v>
      </c>
      <c r="K23" s="5">
        <v>3</v>
      </c>
      <c r="L23" s="5">
        <v>2</v>
      </c>
      <c r="M23" s="15">
        <v>0</v>
      </c>
      <c r="N23" s="19">
        <f t="shared" si="0"/>
        <v>5</v>
      </c>
      <c r="O23" s="22">
        <v>0</v>
      </c>
      <c r="P23" s="5">
        <v>0</v>
      </c>
      <c r="Q23" s="5">
        <v>2</v>
      </c>
      <c r="R23" s="5">
        <v>0</v>
      </c>
      <c r="S23" s="24">
        <v>1</v>
      </c>
      <c r="T23" s="19">
        <f t="shared" si="1"/>
        <v>8</v>
      </c>
      <c r="U23" s="22">
        <v>3</v>
      </c>
      <c r="V23" s="5">
        <v>0</v>
      </c>
      <c r="W23" s="5">
        <v>1</v>
      </c>
      <c r="X23" s="5">
        <v>2</v>
      </c>
      <c r="Y23" s="24">
        <v>0</v>
      </c>
      <c r="Z23" s="19">
        <f t="shared" si="2"/>
        <v>14</v>
      </c>
      <c r="AA23" s="22">
        <v>0</v>
      </c>
      <c r="AB23" s="5">
        <v>0</v>
      </c>
      <c r="AC23" s="5">
        <v>0</v>
      </c>
      <c r="AD23" s="5">
        <v>0</v>
      </c>
      <c r="AE23" s="24">
        <v>0</v>
      </c>
      <c r="AF23" s="38">
        <f t="shared" si="3"/>
        <v>14</v>
      </c>
      <c r="AG23" s="34">
        <v>0</v>
      </c>
      <c r="AH23" s="3">
        <v>12</v>
      </c>
      <c r="AI23" s="3">
        <v>0</v>
      </c>
      <c r="AJ23" s="3">
        <v>3</v>
      </c>
      <c r="AK23" s="27">
        <v>0</v>
      </c>
    </row>
    <row r="24" spans="1:37" x14ac:dyDescent="0.25">
      <c r="A24" s="179"/>
      <c r="B24" s="63" t="s">
        <v>22</v>
      </c>
      <c r="C24" s="58">
        <v>95</v>
      </c>
      <c r="D24" s="3">
        <v>100</v>
      </c>
      <c r="E24" s="3">
        <v>100</v>
      </c>
      <c r="F24" s="3">
        <v>100</v>
      </c>
      <c r="G24" s="12">
        <v>100</v>
      </c>
      <c r="H24" s="18">
        <f t="shared" si="4"/>
        <v>99</v>
      </c>
      <c r="I24" s="3">
        <v>19</v>
      </c>
      <c r="J24" s="3">
        <v>20</v>
      </c>
      <c r="K24" s="3">
        <v>20</v>
      </c>
      <c r="L24" s="3">
        <v>20</v>
      </c>
      <c r="M24" s="12">
        <v>20</v>
      </c>
      <c r="N24" s="18">
        <f t="shared" si="0"/>
        <v>99</v>
      </c>
      <c r="O24" s="34">
        <v>0</v>
      </c>
      <c r="P24" s="21" t="s">
        <v>21</v>
      </c>
      <c r="Q24" s="21" t="s">
        <v>21</v>
      </c>
      <c r="R24" s="21" t="s">
        <v>21</v>
      </c>
      <c r="S24" s="26" t="s">
        <v>21</v>
      </c>
      <c r="T24" s="18">
        <f t="shared" si="1"/>
        <v>99</v>
      </c>
      <c r="U24" s="34">
        <v>0</v>
      </c>
      <c r="V24" s="21" t="s">
        <v>21</v>
      </c>
      <c r="W24" s="21" t="s">
        <v>21</v>
      </c>
      <c r="X24" s="21" t="s">
        <v>21</v>
      </c>
      <c r="Y24" s="26" t="s">
        <v>21</v>
      </c>
      <c r="Z24" s="18">
        <f t="shared" si="2"/>
        <v>99</v>
      </c>
      <c r="AA24" s="34">
        <v>0</v>
      </c>
      <c r="AB24" s="21" t="s">
        <v>21</v>
      </c>
      <c r="AC24" s="21" t="s">
        <v>21</v>
      </c>
      <c r="AD24" s="21" t="s">
        <v>21</v>
      </c>
      <c r="AE24" s="26" t="s">
        <v>21</v>
      </c>
      <c r="AF24" s="42">
        <f t="shared" si="3"/>
        <v>99</v>
      </c>
      <c r="AG24" s="35">
        <v>0</v>
      </c>
      <c r="AH24" s="2">
        <v>0</v>
      </c>
      <c r="AI24" s="2">
        <v>0</v>
      </c>
      <c r="AJ24" s="2">
        <v>0</v>
      </c>
      <c r="AK24" s="28">
        <v>0</v>
      </c>
    </row>
    <row r="25" spans="1:37" x14ac:dyDescent="0.25">
      <c r="A25" s="179"/>
      <c r="B25" s="63" t="s">
        <v>11</v>
      </c>
      <c r="C25" s="58">
        <v>50</v>
      </c>
      <c r="D25" s="3">
        <v>10</v>
      </c>
      <c r="E25" s="3">
        <v>55</v>
      </c>
      <c r="F25" s="3">
        <v>85</v>
      </c>
      <c r="G25" s="12">
        <v>40</v>
      </c>
      <c r="H25" s="18">
        <f t="shared" si="4"/>
        <v>48</v>
      </c>
      <c r="I25" s="3">
        <v>0</v>
      </c>
      <c r="J25" s="3">
        <v>0</v>
      </c>
      <c r="K25" s="3">
        <v>0</v>
      </c>
      <c r="L25" s="3">
        <v>0</v>
      </c>
      <c r="M25" s="12">
        <v>0</v>
      </c>
      <c r="N25" s="18">
        <f t="shared" si="0"/>
        <v>0</v>
      </c>
      <c r="O25" s="34">
        <v>3</v>
      </c>
      <c r="P25" s="3">
        <v>1</v>
      </c>
      <c r="Q25" s="3">
        <v>7</v>
      </c>
      <c r="R25" s="3">
        <v>11</v>
      </c>
      <c r="S25" s="27">
        <v>3</v>
      </c>
      <c r="T25" s="18">
        <f t="shared" si="1"/>
        <v>25</v>
      </c>
      <c r="U25" s="34">
        <v>4</v>
      </c>
      <c r="V25" s="3">
        <v>1</v>
      </c>
      <c r="W25" s="3">
        <v>2</v>
      </c>
      <c r="X25" s="3">
        <v>6</v>
      </c>
      <c r="Y25" s="27">
        <v>1</v>
      </c>
      <c r="Z25" s="18">
        <f t="shared" si="2"/>
        <v>39</v>
      </c>
      <c r="AA25" s="34">
        <v>3</v>
      </c>
      <c r="AB25" s="3">
        <v>0</v>
      </c>
      <c r="AC25" s="3">
        <v>2</v>
      </c>
      <c r="AD25" s="3">
        <v>0</v>
      </c>
      <c r="AE25" s="27">
        <v>4</v>
      </c>
      <c r="AF25" s="42">
        <f t="shared" si="3"/>
        <v>48</v>
      </c>
      <c r="AG25" s="35">
        <v>0</v>
      </c>
      <c r="AH25" s="2">
        <v>0</v>
      </c>
      <c r="AI25" s="2">
        <v>0</v>
      </c>
      <c r="AJ25" s="2">
        <v>0</v>
      </c>
      <c r="AK25" s="28">
        <v>0</v>
      </c>
    </row>
    <row r="26" spans="1:37" x14ac:dyDescent="0.25">
      <c r="A26" s="180"/>
      <c r="B26" s="64" t="s">
        <v>8</v>
      </c>
      <c r="C26" s="59">
        <v>95</v>
      </c>
      <c r="D26" s="2">
        <v>100</v>
      </c>
      <c r="E26" s="2">
        <v>80</v>
      </c>
      <c r="F26" s="2">
        <v>100</v>
      </c>
      <c r="G26" s="13">
        <v>65</v>
      </c>
      <c r="H26" s="18">
        <f t="shared" si="4"/>
        <v>88</v>
      </c>
      <c r="I26" s="2">
        <v>12</v>
      </c>
      <c r="J26" s="2">
        <v>19</v>
      </c>
      <c r="K26" s="2">
        <v>11</v>
      </c>
      <c r="L26" s="2">
        <v>14</v>
      </c>
      <c r="M26" s="13">
        <v>12</v>
      </c>
      <c r="N26" s="18">
        <f t="shared" si="0"/>
        <v>68</v>
      </c>
      <c r="O26" s="35">
        <v>6</v>
      </c>
      <c r="P26" s="2">
        <v>1</v>
      </c>
      <c r="Q26" s="2">
        <v>2</v>
      </c>
      <c r="R26" s="2">
        <v>6</v>
      </c>
      <c r="S26" s="28">
        <v>1</v>
      </c>
      <c r="T26" s="18">
        <f t="shared" si="1"/>
        <v>84</v>
      </c>
      <c r="U26" s="35">
        <v>0</v>
      </c>
      <c r="V26" s="21" t="s">
        <v>21</v>
      </c>
      <c r="W26" s="2">
        <v>3</v>
      </c>
      <c r="X26" s="21" t="s">
        <v>21</v>
      </c>
      <c r="Y26" s="28">
        <v>0</v>
      </c>
      <c r="Z26" s="18">
        <f t="shared" si="2"/>
        <v>87</v>
      </c>
      <c r="AA26" s="35">
        <v>1</v>
      </c>
      <c r="AB26" s="21" t="s">
        <v>21</v>
      </c>
      <c r="AC26" s="2">
        <v>0</v>
      </c>
      <c r="AD26" s="21" t="s">
        <v>21</v>
      </c>
      <c r="AE26" s="28">
        <v>0</v>
      </c>
      <c r="AF26" s="42">
        <f t="shared" si="3"/>
        <v>88</v>
      </c>
      <c r="AG26" s="35">
        <v>0</v>
      </c>
      <c r="AH26" s="2">
        <v>0</v>
      </c>
      <c r="AI26" s="2">
        <v>0</v>
      </c>
      <c r="AJ26" s="2">
        <v>0</v>
      </c>
      <c r="AK26" s="28">
        <v>0</v>
      </c>
    </row>
    <row r="27" spans="1:37" ht="15.75" thickBot="1" x14ac:dyDescent="0.3">
      <c r="A27" s="181"/>
      <c r="B27" s="66" t="s">
        <v>9</v>
      </c>
      <c r="C27" s="62">
        <v>100</v>
      </c>
      <c r="D27" s="37">
        <v>100</v>
      </c>
      <c r="E27" s="37">
        <v>100</v>
      </c>
      <c r="F27" s="37">
        <v>100</v>
      </c>
      <c r="G27" s="53">
        <v>100</v>
      </c>
      <c r="H27" s="54">
        <f t="shared" si="4"/>
        <v>100</v>
      </c>
      <c r="I27" s="37">
        <v>20</v>
      </c>
      <c r="J27" s="37">
        <v>20</v>
      </c>
      <c r="K27" s="37">
        <v>20</v>
      </c>
      <c r="L27" s="37">
        <v>20</v>
      </c>
      <c r="M27" s="53">
        <v>20</v>
      </c>
      <c r="N27" s="54">
        <f t="shared" si="0"/>
        <v>100</v>
      </c>
      <c r="O27" s="85" t="s">
        <v>21</v>
      </c>
      <c r="P27" s="32" t="s">
        <v>21</v>
      </c>
      <c r="Q27" s="32" t="s">
        <v>21</v>
      </c>
      <c r="R27" s="32" t="s">
        <v>21</v>
      </c>
      <c r="S27" s="86" t="s">
        <v>21</v>
      </c>
      <c r="T27" s="54">
        <f t="shared" si="1"/>
        <v>100</v>
      </c>
      <c r="U27" s="85" t="s">
        <v>21</v>
      </c>
      <c r="V27" s="32" t="s">
        <v>21</v>
      </c>
      <c r="W27" s="32" t="s">
        <v>21</v>
      </c>
      <c r="X27" s="32" t="s">
        <v>21</v>
      </c>
      <c r="Y27" s="86" t="s">
        <v>21</v>
      </c>
      <c r="Z27" s="54">
        <f t="shared" si="2"/>
        <v>100</v>
      </c>
      <c r="AA27" s="85" t="s">
        <v>21</v>
      </c>
      <c r="AB27" s="32" t="s">
        <v>21</v>
      </c>
      <c r="AC27" s="32" t="s">
        <v>21</v>
      </c>
      <c r="AD27" s="32" t="s">
        <v>21</v>
      </c>
      <c r="AE27" s="86" t="s">
        <v>21</v>
      </c>
      <c r="AF27" s="162">
        <f t="shared" si="3"/>
        <v>100</v>
      </c>
      <c r="AG27" s="163">
        <v>0</v>
      </c>
      <c r="AH27" s="4">
        <v>0</v>
      </c>
      <c r="AI27" s="4">
        <v>0</v>
      </c>
      <c r="AJ27" s="4">
        <v>0</v>
      </c>
      <c r="AK27" s="164">
        <v>0</v>
      </c>
    </row>
    <row r="28" spans="1:37" x14ac:dyDescent="0.25">
      <c r="A28" s="171" t="s">
        <v>39</v>
      </c>
      <c r="B28" s="104" t="s">
        <v>10</v>
      </c>
      <c r="C28" s="79">
        <f>(C3+C8+C13+C18+C23)/5</f>
        <v>77</v>
      </c>
      <c r="D28" s="69">
        <f t="shared" ref="D28:G28" si="5">(D3+D8+D13+D18+D23)/5</f>
        <v>73</v>
      </c>
      <c r="E28" s="69">
        <f t="shared" si="5"/>
        <v>85</v>
      </c>
      <c r="F28" s="69">
        <f t="shared" si="5"/>
        <v>74</v>
      </c>
      <c r="G28" s="80">
        <f t="shared" si="5"/>
        <v>77</v>
      </c>
      <c r="H28" s="128">
        <f>ROUNDUP(SUM(C28:G28)/5,1)</f>
        <v>77.2</v>
      </c>
      <c r="I28" s="79">
        <f>100*(I3+I8+I13+I18+I23)/100</f>
        <v>59</v>
      </c>
      <c r="J28" s="69">
        <f t="shared" ref="J28:M28" si="6">100*(J3+J8+J13+J18+J23)/100</f>
        <v>73</v>
      </c>
      <c r="K28" s="69">
        <f t="shared" si="6"/>
        <v>75</v>
      </c>
      <c r="L28" s="69">
        <f t="shared" si="6"/>
        <v>70</v>
      </c>
      <c r="M28" s="70">
        <f t="shared" si="6"/>
        <v>70</v>
      </c>
      <c r="N28" s="38">
        <f>ROUNDUP(SUM(I28:M28)/5,1)</f>
        <v>69.400000000000006</v>
      </c>
      <c r="O28" s="79">
        <f>100*(IF(O3="--",0,O3)+IF(I3="--",0,I3)+IF(O8="--",0,O8)+IF(I8="--",0,I8)+IF(O13="--",0,O13)+IF(I13="--",0,I13)+IF(O18="--",0,O18)+IF(I18="--",0,I18)+IF(O23="--",0,O23)+IF(I23="--",0,I23))/100</f>
        <v>65</v>
      </c>
      <c r="P28" s="69">
        <f t="shared" ref="P28:S32" si="7">100*(IF(P3="--",0,P3)+IF(J3="--",0,J3)+IF(P8="--",0,P8)+IF(J8="--",0,J8)+IF(P13="--",0,P13)+IF(J13="--",0,J13)+IF(P18="--",0,P18)+IF(J18="--",0,J18)+IF(P23="--",0,P23)+IF(J23="--",0,J23))/100</f>
        <v>73</v>
      </c>
      <c r="Q28" s="69">
        <f t="shared" si="7"/>
        <v>82</v>
      </c>
      <c r="R28" s="69">
        <f t="shared" si="7"/>
        <v>71</v>
      </c>
      <c r="S28" s="80">
        <f t="shared" si="7"/>
        <v>73</v>
      </c>
      <c r="T28" s="39">
        <f>ROUNDUP(SUM(O28:S28)/5,1)</f>
        <v>72.8</v>
      </c>
      <c r="U28" s="79">
        <f>100*(IF(O3="--",0,O3)+IF(I3="--",0,I3)+IF(U3="--",0,U3)+IF(O8="--",0,O8)+IF(I8="--",0,I8)+IF(U8="--",0,U8)+IF(O13="--",0,O13)+IF(I13="--",0,I13)+IF(U13="--",0,U13)+IF(O18="--",0,O18)+IF(I18="--",0,I18)+IF(U18="--",0,U18)+IF(O23="--",0,O23)+IF(I23="--",0,I23)+IF(U23="--",0,U23))/100</f>
        <v>76</v>
      </c>
      <c r="V28" s="69">
        <f t="shared" ref="V28:Y32" si="8">100*(IF(P3="--",0,P3)+IF(J3="--",0,J3)+IF(V3="--",0,V3)+IF(P8="--",0,P8)+IF(J8="--",0,J8)+IF(V8="--",0,V8)+IF(P13="--",0,P13)+IF(J13="--",0,J13)+IF(V13="--",0,V13)+IF(P18="--",0,P18)+IF(J18="--",0,J18)+IF(V18="--",0,V18)+IF(P23="--",0,P23)+IF(J23="--",0,J23)+IF(V23="--",0,V23))/100</f>
        <v>73</v>
      </c>
      <c r="W28" s="69">
        <f t="shared" si="8"/>
        <v>85</v>
      </c>
      <c r="X28" s="69">
        <f t="shared" si="8"/>
        <v>74</v>
      </c>
      <c r="Y28" s="70">
        <f t="shared" si="8"/>
        <v>77</v>
      </c>
      <c r="Z28" s="19">
        <f>ROUNDUP(SUM(U28:Y28)/5,1)</f>
        <v>77</v>
      </c>
      <c r="AA28" s="79">
        <f>100*(IF(O3="--",0,O3)+IF(I3="--",0,I3)+IF(U3="--",0,U3)+IF(AA3="--",0,AA3)+IF(O8="--",0,O8)+IF(I8="--",0,I8)+IF(U8="--",0,U8)+IF(AA8="--",0,AA8)+IF(O13="--",0,O13)+IF(I13="--",0,I13)+IF(U13="--",0,U13)+IF(AA13="--",0,AA13)+IF(O18="--",0,O18)+IF(I18="--",0,I18)+IF(U18="--",0,U18)+IF(AA18="--",0,AA18)+IF(O23="--",0,O23)+IF(I23="--",0,I23)+IF(U23="--",0,U23)+IF(AA23="--",0,AA23))/100</f>
        <v>77</v>
      </c>
      <c r="AB28" s="69">
        <f t="shared" ref="AB28:AE32" si="9">100*(IF(P3="--",0,P3)+IF(J3="--",0,J3)+IF(V3="--",0,V3)+IF(AB3="--",0,AB3)+IF(P8="--",0,P8)+IF(J8="--",0,J8)+IF(V8="--",0,V8)+IF(AB8="--",0,AB8)+IF(P13="--",0,P13)+IF(J13="--",0,J13)+IF(V13="--",0,V13)+IF(AB13="--",0,AB13)+IF(P18="--",0,P18)+IF(J18="--",0,J18)+IF(V18="--",0,V18)+IF(AB18="--",0,AB18)+IF(P23="--",0,P23)+IF(J23="--",0,J23)+IF(V23="--",0,V23)+IF(AB23="--",0,AB23))/100</f>
        <v>73</v>
      </c>
      <c r="AC28" s="69">
        <f t="shared" si="9"/>
        <v>85</v>
      </c>
      <c r="AD28" s="69">
        <f t="shared" si="9"/>
        <v>74</v>
      </c>
      <c r="AE28" s="80">
        <f t="shared" si="9"/>
        <v>77</v>
      </c>
      <c r="AF28" s="19">
        <f>ROUNDUP(SUM(AA28:AE28)/5,1)</f>
        <v>77.2</v>
      </c>
    </row>
    <row r="29" spans="1:37" x14ac:dyDescent="0.25">
      <c r="A29" s="172"/>
      <c r="B29" s="105" t="s">
        <v>22</v>
      </c>
      <c r="C29" s="81">
        <f t="shared" ref="C29:G32" si="10">(C4+C9+C14+C19+C24)/5</f>
        <v>99</v>
      </c>
      <c r="D29" s="72">
        <f t="shared" si="10"/>
        <v>100</v>
      </c>
      <c r="E29" s="72">
        <f t="shared" si="10"/>
        <v>100</v>
      </c>
      <c r="F29" s="72">
        <f t="shared" si="10"/>
        <v>100</v>
      </c>
      <c r="G29" s="82">
        <f t="shared" si="10"/>
        <v>100</v>
      </c>
      <c r="H29" s="129">
        <f t="shared" ref="H29:H32" si="11">ROUNDUP(SUM(C29:G29)/5,1)</f>
        <v>99.8</v>
      </c>
      <c r="I29" s="81">
        <f t="shared" ref="I29:M32" si="12">100*(I4+I9+I14+I19+I24)/100</f>
        <v>99</v>
      </c>
      <c r="J29" s="72">
        <f t="shared" si="12"/>
        <v>100</v>
      </c>
      <c r="K29" s="72">
        <f t="shared" si="12"/>
        <v>100</v>
      </c>
      <c r="L29" s="72">
        <f t="shared" si="12"/>
        <v>96</v>
      </c>
      <c r="M29" s="73">
        <f t="shared" si="12"/>
        <v>100</v>
      </c>
      <c r="N29" s="77">
        <f t="shared" ref="N29:N32" si="13">ROUNDUP(SUM(I29:M29)/5,1)</f>
        <v>99</v>
      </c>
      <c r="O29" s="81">
        <f t="shared" ref="O29:O32" si="14">100*(IF(O4="--",0,O4)+IF(I4="--",0,I4)+IF(O9="--",0,O9)+IF(I9="--",0,I9)+IF(O14="--",0,O14)+IF(I14="--",0,I14)+IF(O19="--",0,O19)+IF(I19="--",0,I19)+IF(O24="--",0,O24)+IF(I24="--",0,I24))/100</f>
        <v>99</v>
      </c>
      <c r="P29" s="72">
        <f t="shared" si="7"/>
        <v>100</v>
      </c>
      <c r="Q29" s="72">
        <f t="shared" si="7"/>
        <v>100</v>
      </c>
      <c r="R29" s="72">
        <f t="shared" si="7"/>
        <v>96</v>
      </c>
      <c r="S29" s="82">
        <f t="shared" si="7"/>
        <v>100</v>
      </c>
      <c r="T29" s="125">
        <f t="shared" ref="T29:T32" si="15">ROUNDUP(SUM(O29:S29)/5,1)</f>
        <v>99</v>
      </c>
      <c r="U29" s="81">
        <f t="shared" ref="U29:U32" si="16">100*(IF(O4="--",0,O4)+IF(I4="--",0,I4)+IF(U4="--",0,U4)+IF(O9="--",0,O9)+IF(I9="--",0,I9)+IF(U9="--",0,U9)+IF(O14="--",0,O14)+IF(I14="--",0,I14)+IF(U14="--",0,U14)+IF(O19="--",0,O19)+IF(I19="--",0,I19)+IF(U19="--",0,U19)+IF(O24="--",0,O24)+IF(I24="--",0,I24)+IF(U24="--",0,U24))/100</f>
        <v>99</v>
      </c>
      <c r="V29" s="72">
        <f t="shared" si="8"/>
        <v>100</v>
      </c>
      <c r="W29" s="72">
        <f t="shared" si="8"/>
        <v>100</v>
      </c>
      <c r="X29" s="72">
        <f t="shared" si="8"/>
        <v>100</v>
      </c>
      <c r="Y29" s="73">
        <f t="shared" si="8"/>
        <v>100</v>
      </c>
      <c r="Z29" s="55">
        <f t="shared" ref="Z29:Z32" si="17">ROUNDUP(SUM(U29:Y29)/5,1)</f>
        <v>99.8</v>
      </c>
      <c r="AA29" s="81">
        <f t="shared" ref="AA29:AA32" si="18">100*(IF(O4="--",0,O4)+IF(I4="--",0,I4)+IF(U4="--",0,U4)+IF(AA4="--",0,AA4)+IF(O9="--",0,O9)+IF(I9="--",0,I9)+IF(U9="--",0,U9)+IF(AA9="--",0,AA9)+IF(O14="--",0,O14)+IF(I14="--",0,I14)+IF(U14="--",0,U14)+IF(AA14="--",0,AA14)+IF(O19="--",0,O19)+IF(I19="--",0,I19)+IF(U19="--",0,U19)+IF(AA19="--",0,AA19)+IF(O24="--",0,O24)+IF(I24="--",0,I24)+IF(U24="--",0,U24)+IF(AA24="--",0,AA24))/100</f>
        <v>99</v>
      </c>
      <c r="AB29" s="72">
        <f t="shared" si="9"/>
        <v>100</v>
      </c>
      <c r="AC29" s="72">
        <f t="shared" si="9"/>
        <v>100</v>
      </c>
      <c r="AD29" s="72">
        <f t="shared" si="9"/>
        <v>100</v>
      </c>
      <c r="AE29" s="82">
        <f t="shared" si="9"/>
        <v>100</v>
      </c>
      <c r="AF29" s="55">
        <f t="shared" ref="AF29:AF32" si="19">ROUNDUP(SUM(AA29:AE29)/5,1)</f>
        <v>99.8</v>
      </c>
    </row>
    <row r="30" spans="1:37" x14ac:dyDescent="0.25">
      <c r="A30" s="172"/>
      <c r="B30" s="105" t="s">
        <v>11</v>
      </c>
      <c r="C30" s="81">
        <f t="shared" si="10"/>
        <v>75</v>
      </c>
      <c r="D30" s="72">
        <f t="shared" si="10"/>
        <v>21</v>
      </c>
      <c r="E30" s="72">
        <f t="shared" si="10"/>
        <v>72</v>
      </c>
      <c r="F30" s="72">
        <f t="shared" si="10"/>
        <v>85</v>
      </c>
      <c r="G30" s="82">
        <f t="shared" si="10"/>
        <v>68</v>
      </c>
      <c r="H30" s="129">
        <f t="shared" si="11"/>
        <v>64.2</v>
      </c>
      <c r="I30" s="81">
        <f t="shared" si="12"/>
        <v>0</v>
      </c>
      <c r="J30" s="72">
        <f t="shared" si="12"/>
        <v>0</v>
      </c>
      <c r="K30" s="72">
        <f t="shared" si="12"/>
        <v>0</v>
      </c>
      <c r="L30" s="72">
        <f t="shared" si="12"/>
        <v>0</v>
      </c>
      <c r="M30" s="73">
        <f t="shared" si="12"/>
        <v>0</v>
      </c>
      <c r="N30" s="77">
        <f t="shared" si="13"/>
        <v>0</v>
      </c>
      <c r="O30" s="81">
        <f t="shared" si="14"/>
        <v>40</v>
      </c>
      <c r="P30" s="72">
        <f t="shared" si="7"/>
        <v>7</v>
      </c>
      <c r="Q30" s="72">
        <f t="shared" si="7"/>
        <v>34</v>
      </c>
      <c r="R30" s="72">
        <f t="shared" si="7"/>
        <v>68</v>
      </c>
      <c r="S30" s="82">
        <f t="shared" si="7"/>
        <v>36</v>
      </c>
      <c r="T30" s="125">
        <f t="shared" si="15"/>
        <v>37</v>
      </c>
      <c r="U30" s="81">
        <f t="shared" si="16"/>
        <v>60</v>
      </c>
      <c r="V30" s="72">
        <f t="shared" si="8"/>
        <v>19</v>
      </c>
      <c r="W30" s="72">
        <f t="shared" si="8"/>
        <v>51</v>
      </c>
      <c r="X30" s="72">
        <f t="shared" si="8"/>
        <v>81</v>
      </c>
      <c r="Y30" s="73">
        <f t="shared" si="8"/>
        <v>51</v>
      </c>
      <c r="Z30" s="55">
        <f t="shared" si="17"/>
        <v>52.4</v>
      </c>
      <c r="AA30" s="81">
        <f t="shared" si="18"/>
        <v>75</v>
      </c>
      <c r="AB30" s="72">
        <f t="shared" si="9"/>
        <v>21</v>
      </c>
      <c r="AC30" s="72">
        <f t="shared" si="9"/>
        <v>72</v>
      </c>
      <c r="AD30" s="72">
        <f t="shared" si="9"/>
        <v>85</v>
      </c>
      <c r="AE30" s="82">
        <f t="shared" si="9"/>
        <v>68</v>
      </c>
      <c r="AF30" s="55">
        <f t="shared" si="19"/>
        <v>64.2</v>
      </c>
      <c r="AH30" s="168" t="s">
        <v>46</v>
      </c>
      <c r="AK30" s="1">
        <f>SUM(AG3:AK27)</f>
        <v>66</v>
      </c>
    </row>
    <row r="31" spans="1:37" x14ac:dyDescent="0.25">
      <c r="A31" s="172"/>
      <c r="B31" s="106" t="s">
        <v>8</v>
      </c>
      <c r="C31" s="81">
        <f t="shared" si="10"/>
        <v>97</v>
      </c>
      <c r="D31" s="72">
        <f t="shared" si="10"/>
        <v>99</v>
      </c>
      <c r="E31" s="72">
        <f t="shared" si="10"/>
        <v>96</v>
      </c>
      <c r="F31" s="72">
        <f t="shared" si="10"/>
        <v>99</v>
      </c>
      <c r="G31" s="82">
        <f t="shared" si="10"/>
        <v>87</v>
      </c>
      <c r="H31" s="129">
        <f t="shared" si="11"/>
        <v>95.6</v>
      </c>
      <c r="I31" s="81">
        <f t="shared" si="12"/>
        <v>68</v>
      </c>
      <c r="J31" s="72">
        <f t="shared" si="12"/>
        <v>97</v>
      </c>
      <c r="K31" s="72">
        <f t="shared" si="12"/>
        <v>75</v>
      </c>
      <c r="L31" s="72">
        <f t="shared" si="12"/>
        <v>84</v>
      </c>
      <c r="M31" s="73">
        <f t="shared" si="12"/>
        <v>77</v>
      </c>
      <c r="N31" s="77">
        <f t="shared" si="13"/>
        <v>80.2</v>
      </c>
      <c r="O31" s="81">
        <f t="shared" si="14"/>
        <v>89</v>
      </c>
      <c r="P31" s="72">
        <f t="shared" si="7"/>
        <v>98</v>
      </c>
      <c r="Q31" s="72">
        <f t="shared" si="7"/>
        <v>87</v>
      </c>
      <c r="R31" s="72">
        <f t="shared" si="7"/>
        <v>95</v>
      </c>
      <c r="S31" s="82">
        <f t="shared" si="7"/>
        <v>84</v>
      </c>
      <c r="T31" s="125">
        <f t="shared" si="15"/>
        <v>90.6</v>
      </c>
      <c r="U31" s="81">
        <f t="shared" si="16"/>
        <v>95</v>
      </c>
      <c r="V31" s="72">
        <f t="shared" si="8"/>
        <v>99</v>
      </c>
      <c r="W31" s="72">
        <f t="shared" si="8"/>
        <v>96</v>
      </c>
      <c r="X31" s="72">
        <f t="shared" si="8"/>
        <v>99</v>
      </c>
      <c r="Y31" s="73">
        <f t="shared" si="8"/>
        <v>87</v>
      </c>
      <c r="Z31" s="55">
        <f t="shared" si="17"/>
        <v>95.2</v>
      </c>
      <c r="AA31" s="81">
        <f t="shared" si="18"/>
        <v>97</v>
      </c>
      <c r="AB31" s="72">
        <f t="shared" si="9"/>
        <v>99</v>
      </c>
      <c r="AC31" s="72">
        <f t="shared" si="9"/>
        <v>96</v>
      </c>
      <c r="AD31" s="72">
        <f t="shared" si="9"/>
        <v>99</v>
      </c>
      <c r="AE31" s="82">
        <f t="shared" si="9"/>
        <v>87</v>
      </c>
      <c r="AF31" s="55">
        <f t="shared" si="19"/>
        <v>95.6</v>
      </c>
      <c r="AH31" s="168" t="s">
        <v>47</v>
      </c>
      <c r="AK31" s="1">
        <f>AK30/3</f>
        <v>22</v>
      </c>
    </row>
    <row r="32" spans="1:37" ht="15.75" thickBot="1" x14ac:dyDescent="0.3">
      <c r="A32" s="172"/>
      <c r="B32" s="135" t="s">
        <v>9</v>
      </c>
      <c r="C32" s="120">
        <f t="shared" si="10"/>
        <v>100</v>
      </c>
      <c r="D32" s="121">
        <f t="shared" si="10"/>
        <v>100</v>
      </c>
      <c r="E32" s="121">
        <f t="shared" si="10"/>
        <v>99</v>
      </c>
      <c r="F32" s="121">
        <f t="shared" si="10"/>
        <v>100</v>
      </c>
      <c r="G32" s="124">
        <f t="shared" si="10"/>
        <v>100</v>
      </c>
      <c r="H32" s="136">
        <f t="shared" si="11"/>
        <v>99.8</v>
      </c>
      <c r="I32" s="120">
        <f t="shared" si="12"/>
        <v>100</v>
      </c>
      <c r="J32" s="121">
        <f t="shared" si="12"/>
        <v>100</v>
      </c>
      <c r="K32" s="121">
        <f t="shared" si="12"/>
        <v>99</v>
      </c>
      <c r="L32" s="121">
        <f t="shared" si="12"/>
        <v>96</v>
      </c>
      <c r="M32" s="122">
        <f t="shared" si="12"/>
        <v>100</v>
      </c>
      <c r="N32" s="137">
        <f t="shared" si="13"/>
        <v>99</v>
      </c>
      <c r="O32" s="120">
        <f t="shared" si="14"/>
        <v>100</v>
      </c>
      <c r="P32" s="121">
        <f t="shared" si="7"/>
        <v>100</v>
      </c>
      <c r="Q32" s="121">
        <f t="shared" si="7"/>
        <v>99</v>
      </c>
      <c r="R32" s="121">
        <f t="shared" si="7"/>
        <v>96</v>
      </c>
      <c r="S32" s="124">
        <f t="shared" si="7"/>
        <v>100</v>
      </c>
      <c r="T32" s="131">
        <f t="shared" si="15"/>
        <v>99</v>
      </c>
      <c r="U32" s="120">
        <f t="shared" si="16"/>
        <v>100</v>
      </c>
      <c r="V32" s="121">
        <f t="shared" si="8"/>
        <v>100</v>
      </c>
      <c r="W32" s="121">
        <f t="shared" si="8"/>
        <v>99</v>
      </c>
      <c r="X32" s="121">
        <f t="shared" si="8"/>
        <v>99</v>
      </c>
      <c r="Y32" s="122">
        <f t="shared" si="8"/>
        <v>100</v>
      </c>
      <c r="Z32" s="123">
        <f t="shared" si="17"/>
        <v>99.6</v>
      </c>
      <c r="AA32" s="120">
        <f t="shared" si="18"/>
        <v>100</v>
      </c>
      <c r="AB32" s="121">
        <f t="shared" si="9"/>
        <v>100</v>
      </c>
      <c r="AC32" s="121">
        <f t="shared" si="9"/>
        <v>99</v>
      </c>
      <c r="AD32" s="121">
        <f t="shared" si="9"/>
        <v>100</v>
      </c>
      <c r="AE32" s="124">
        <f t="shared" si="9"/>
        <v>100</v>
      </c>
      <c r="AF32" s="123">
        <f t="shared" si="19"/>
        <v>99.8</v>
      </c>
      <c r="AH32" s="168" t="s">
        <v>48</v>
      </c>
      <c r="AK32" s="1">
        <f>100*AK31/500</f>
        <v>4.4000000000000004</v>
      </c>
    </row>
    <row r="33" spans="1:37" x14ac:dyDescent="0.25">
      <c r="A33" s="173" t="s">
        <v>42</v>
      </c>
      <c r="B33" s="67" t="s">
        <v>10</v>
      </c>
      <c r="C33" s="138"/>
      <c r="D33" s="138"/>
      <c r="E33" s="138"/>
      <c r="F33" s="138"/>
      <c r="G33" s="138"/>
      <c r="H33" s="138"/>
      <c r="I33" s="138"/>
      <c r="J33" s="102"/>
      <c r="K33" s="102"/>
      <c r="L33" s="102"/>
      <c r="M33" s="102"/>
      <c r="N33" s="102"/>
      <c r="O33" s="79">
        <f>20-I3-IF(O3="--",0,O3)+20-I8-IF(O8="--",0,O8)+20-I13-IF(O13="--",0,O13)+20-I18-IF(O18="--",0,O18)+20-I23-IF(O23="--",0,O23)</f>
        <v>35</v>
      </c>
      <c r="P33" s="69">
        <f t="shared" ref="P33:S37" si="20">20-J3-IF(P3="--",0,P3)+20-J8-IF(P8="--",0,P8)+20-J13-IF(P13="--",0,P13)+20-J18-IF(P18="--",0,P18)+20-J23-IF(P23="--",0,P23)</f>
        <v>27</v>
      </c>
      <c r="Q33" s="69">
        <f t="shared" si="20"/>
        <v>18</v>
      </c>
      <c r="R33" s="69">
        <f t="shared" si="20"/>
        <v>29</v>
      </c>
      <c r="S33" s="70">
        <f t="shared" si="20"/>
        <v>27</v>
      </c>
      <c r="T33" s="38">
        <f>SUM(O33:S33)</f>
        <v>136</v>
      </c>
      <c r="U33" s="79">
        <f>100-I3-IF(O3="--",0,O3)-IF(U3="--",0,U3)-I8-IF(O8="--",0,O8)-IF(U8="--",0,U8)-I13-IF(O13="--",0,O13)-IF(U13="--",0,U13)-I18-IF(O18="--",0,O18)-IF(U18="--",0,U18)-I23-IF(O23="--",0,O23)-IF(U23="--",0,U23)</f>
        <v>24</v>
      </c>
      <c r="V33" s="69">
        <f t="shared" ref="V33:Y37" si="21">100-J3-IF(P3="--",0,P3)-IF(V3="--",0,V3)-J8-IF(P8="--",0,P8)-IF(V8="--",0,V8)-J13-IF(P13="--",0,P13)-IF(V13="--",0,V13)-J18-IF(P18="--",0,P18)-IF(V18="--",0,V18)-J23-IF(P23="--",0,P23)-IF(V23="--",0,V23)</f>
        <v>27</v>
      </c>
      <c r="W33" s="69">
        <f t="shared" si="21"/>
        <v>15</v>
      </c>
      <c r="X33" s="69">
        <f t="shared" si="21"/>
        <v>26</v>
      </c>
      <c r="Y33" s="80">
        <f t="shared" si="21"/>
        <v>23</v>
      </c>
      <c r="Z33" s="19">
        <f>SUM(U33:Y33)</f>
        <v>115</v>
      </c>
      <c r="AA33" s="68">
        <f>100-I3-IF(O3="--",0,O3)-IF(U3="--",0,U3)-IF(AA3="--",0,AA3)-I8-IF(O8="--",0,O8)-IF(U8="--",0,U8)-IF(AA8="--",0,AA8)-I13-IF(O13="--",0,O13)-IF(U13="--",0,U13)-IF(AA13="--",0,AA13)-I18-IF(O18="--",0,O18)-IF(U18="--",0,U18)-IF(AA18="--",0,AA18)-I23-IF(O23="--",0,O23)-IF(U23="--",0,U23)-IF(AA23="--",0,AA23)</f>
        <v>23</v>
      </c>
      <c r="AB33" s="69">
        <f t="shared" ref="AB33:AE37" si="22">100-J3-IF(P3="--",0,P3)-IF(V3="--",0,V3)-IF(AB3="--",0,AB3)-J8-IF(P8="--",0,P8)-IF(V8="--",0,V8)-IF(AB8="--",0,AB8)-J13-IF(P13="--",0,P13)-IF(V13="--",0,V13)-IF(AB13="--",0,AB13)-J18-IF(P18="--",0,P18)-IF(V18="--",0,V18)-IF(AB18="--",0,AB18)-J23-IF(P23="--",0,P23)-IF(V23="--",0,V23)-IF(AB23="--",0,AB23)</f>
        <v>27</v>
      </c>
      <c r="AC33" s="69">
        <f t="shared" si="22"/>
        <v>15</v>
      </c>
      <c r="AD33" s="69">
        <f t="shared" si="22"/>
        <v>26</v>
      </c>
      <c r="AE33" s="70">
        <f t="shared" si="22"/>
        <v>23</v>
      </c>
      <c r="AF33" s="19">
        <f>SUM(AA33:AE33)</f>
        <v>114</v>
      </c>
      <c r="AH33" s="168" t="s">
        <v>49</v>
      </c>
      <c r="AK33" s="1">
        <f>100*AK31/(500*5)</f>
        <v>0.88</v>
      </c>
    </row>
    <row r="34" spans="1:37" x14ac:dyDescent="0.25">
      <c r="A34" s="174"/>
      <c r="B34" s="63" t="s">
        <v>22</v>
      </c>
      <c r="J34"/>
      <c r="K34"/>
      <c r="L34"/>
      <c r="M34"/>
      <c r="N34"/>
      <c r="O34" s="81">
        <f t="shared" ref="O34:O37" si="23">20-I4-IF(O4="--",0,O4)+20-I9-IF(O9="--",0,O9)+20-I14-IF(O14="--",0,O14)+20-I19-IF(O19="--",0,O19)+20-I24-IF(O24="--",0,O24)</f>
        <v>1</v>
      </c>
      <c r="P34" s="72">
        <f t="shared" si="20"/>
        <v>0</v>
      </c>
      <c r="Q34" s="72">
        <f t="shared" si="20"/>
        <v>0</v>
      </c>
      <c r="R34" s="72">
        <f t="shared" si="20"/>
        <v>4</v>
      </c>
      <c r="S34" s="73">
        <f t="shared" si="20"/>
        <v>0</v>
      </c>
      <c r="T34" s="77">
        <f t="shared" ref="T34:T37" si="24">SUM(O34:S34)</f>
        <v>5</v>
      </c>
      <c r="U34" s="81">
        <f t="shared" ref="U34:U37" si="25">100-I4-IF(O4="--",0,O4)-IF(U4="--",0,U4)-I9-IF(O9="--",0,O9)-IF(U9="--",0,U9)-I14-IF(O14="--",0,O14)-IF(U14="--",0,U14)-I19-IF(O19="--",0,O19)-IF(U19="--",0,U19)-I24-IF(O24="--",0,O24)-IF(U24="--",0,U24)</f>
        <v>1</v>
      </c>
      <c r="V34" s="72">
        <f t="shared" si="21"/>
        <v>0</v>
      </c>
      <c r="W34" s="72">
        <f t="shared" si="21"/>
        <v>0</v>
      </c>
      <c r="X34" s="72">
        <f t="shared" si="21"/>
        <v>0</v>
      </c>
      <c r="Y34" s="82">
        <f t="shared" si="21"/>
        <v>0</v>
      </c>
      <c r="Z34" s="55">
        <f t="shared" ref="Z34:Z37" si="26">SUM(U34:Y34)</f>
        <v>1</v>
      </c>
      <c r="AA34" s="71">
        <f t="shared" ref="AA34:AA37" si="27">100-I4-IF(O4="--",0,O4)-IF(U4="--",0,U4)-IF(AA4="--",0,AA4)-I9-IF(O9="--",0,O9)-IF(U9="--",0,U9)-IF(AA9="--",0,AA9)-I14-IF(O14="--",0,O14)-IF(U14="--",0,U14)-IF(AA14="--",0,AA14)-I19-IF(O19="--",0,O19)-IF(U19="--",0,U19)-IF(AA19="--",0,AA19)-I24-IF(O24="--",0,O24)-IF(U24="--",0,U24)-IF(AA24="--",0,AA24)</f>
        <v>1</v>
      </c>
      <c r="AB34" s="71">
        <f t="shared" si="22"/>
        <v>0</v>
      </c>
      <c r="AC34" s="71">
        <f t="shared" si="22"/>
        <v>0</v>
      </c>
      <c r="AD34" s="71">
        <f t="shared" si="22"/>
        <v>0</v>
      </c>
      <c r="AE34" s="141">
        <f t="shared" si="22"/>
        <v>0</v>
      </c>
      <c r="AF34" s="55">
        <f t="shared" ref="AF34:AF37" si="28">SUM(AA34:AE34)</f>
        <v>1</v>
      </c>
    </row>
    <row r="35" spans="1:37" x14ac:dyDescent="0.25">
      <c r="A35" s="174"/>
      <c r="B35" s="63" t="s">
        <v>11</v>
      </c>
      <c r="J35"/>
      <c r="K35"/>
      <c r="L35"/>
      <c r="M35"/>
      <c r="N35"/>
      <c r="O35" s="81">
        <f t="shared" si="23"/>
        <v>60</v>
      </c>
      <c r="P35" s="72">
        <f t="shared" si="20"/>
        <v>93</v>
      </c>
      <c r="Q35" s="72">
        <f t="shared" si="20"/>
        <v>66</v>
      </c>
      <c r="R35" s="72">
        <f t="shared" si="20"/>
        <v>32</v>
      </c>
      <c r="S35" s="73">
        <f t="shared" si="20"/>
        <v>64</v>
      </c>
      <c r="T35" s="77">
        <f t="shared" si="24"/>
        <v>315</v>
      </c>
      <c r="U35" s="81">
        <f t="shared" si="25"/>
        <v>40</v>
      </c>
      <c r="V35" s="72">
        <f t="shared" si="21"/>
        <v>81</v>
      </c>
      <c r="W35" s="72">
        <f t="shared" si="21"/>
        <v>49</v>
      </c>
      <c r="X35" s="72">
        <f t="shared" si="21"/>
        <v>19</v>
      </c>
      <c r="Y35" s="82">
        <f t="shared" si="21"/>
        <v>49</v>
      </c>
      <c r="Z35" s="55">
        <f t="shared" si="26"/>
        <v>238</v>
      </c>
      <c r="AA35" s="71">
        <f t="shared" si="27"/>
        <v>25</v>
      </c>
      <c r="AB35" s="71">
        <f t="shared" si="22"/>
        <v>79</v>
      </c>
      <c r="AC35" s="71">
        <f t="shared" si="22"/>
        <v>28</v>
      </c>
      <c r="AD35" s="71">
        <f t="shared" si="22"/>
        <v>15</v>
      </c>
      <c r="AE35" s="141">
        <f t="shared" si="22"/>
        <v>32</v>
      </c>
      <c r="AF35" s="55">
        <f t="shared" si="28"/>
        <v>179</v>
      </c>
    </row>
    <row r="36" spans="1:37" x14ac:dyDescent="0.25">
      <c r="A36" s="174"/>
      <c r="B36" s="64" t="s">
        <v>8</v>
      </c>
      <c r="J36"/>
      <c r="K36"/>
      <c r="L36"/>
      <c r="M36"/>
      <c r="N36"/>
      <c r="O36" s="81">
        <f t="shared" si="23"/>
        <v>11</v>
      </c>
      <c r="P36" s="72">
        <f t="shared" si="20"/>
        <v>2</v>
      </c>
      <c r="Q36" s="72">
        <f t="shared" si="20"/>
        <v>13</v>
      </c>
      <c r="R36" s="72">
        <f t="shared" si="20"/>
        <v>5</v>
      </c>
      <c r="S36" s="73">
        <f t="shared" si="20"/>
        <v>16</v>
      </c>
      <c r="T36" s="77">
        <f t="shared" si="24"/>
        <v>47</v>
      </c>
      <c r="U36" s="81">
        <f t="shared" si="25"/>
        <v>5</v>
      </c>
      <c r="V36" s="72">
        <f t="shared" si="21"/>
        <v>1</v>
      </c>
      <c r="W36" s="72">
        <f t="shared" si="21"/>
        <v>4</v>
      </c>
      <c r="X36" s="72">
        <f t="shared" si="21"/>
        <v>1</v>
      </c>
      <c r="Y36" s="82">
        <f t="shared" si="21"/>
        <v>13</v>
      </c>
      <c r="Z36" s="55">
        <f t="shared" si="26"/>
        <v>24</v>
      </c>
      <c r="AA36" s="71">
        <f t="shared" si="27"/>
        <v>3</v>
      </c>
      <c r="AB36" s="71">
        <f t="shared" si="22"/>
        <v>1</v>
      </c>
      <c r="AC36" s="71">
        <f t="shared" si="22"/>
        <v>4</v>
      </c>
      <c r="AD36" s="71">
        <f t="shared" si="22"/>
        <v>1</v>
      </c>
      <c r="AE36" s="141">
        <f t="shared" si="22"/>
        <v>13</v>
      </c>
      <c r="AF36" s="55">
        <f t="shared" si="28"/>
        <v>22</v>
      </c>
    </row>
    <row r="37" spans="1:37" ht="15.75" thickBot="1" x14ac:dyDescent="0.3">
      <c r="A37" s="175"/>
      <c r="B37" s="65" t="s">
        <v>9</v>
      </c>
      <c r="C37" s="139"/>
      <c r="D37" s="139"/>
      <c r="E37" s="139"/>
      <c r="F37" s="139"/>
      <c r="G37" s="139"/>
      <c r="H37" s="139"/>
      <c r="I37" s="139"/>
      <c r="J37" s="103"/>
      <c r="K37" s="103"/>
      <c r="L37" s="103"/>
      <c r="M37" s="103"/>
      <c r="N37" s="103"/>
      <c r="O37" s="83">
        <f t="shared" si="23"/>
        <v>0</v>
      </c>
      <c r="P37" s="75">
        <f t="shared" si="20"/>
        <v>0</v>
      </c>
      <c r="Q37" s="75">
        <f t="shared" si="20"/>
        <v>1</v>
      </c>
      <c r="R37" s="75">
        <f t="shared" si="20"/>
        <v>4</v>
      </c>
      <c r="S37" s="76">
        <f t="shared" si="20"/>
        <v>0</v>
      </c>
      <c r="T37" s="78">
        <f t="shared" si="24"/>
        <v>5</v>
      </c>
      <c r="U37" s="120">
        <f t="shared" si="25"/>
        <v>0</v>
      </c>
      <c r="V37" s="121">
        <f t="shared" si="21"/>
        <v>0</v>
      </c>
      <c r="W37" s="121">
        <f t="shared" si="21"/>
        <v>1</v>
      </c>
      <c r="X37" s="121">
        <f t="shared" si="21"/>
        <v>1</v>
      </c>
      <c r="Y37" s="124">
        <f t="shared" si="21"/>
        <v>0</v>
      </c>
      <c r="Z37" s="123">
        <f t="shared" si="26"/>
        <v>2</v>
      </c>
      <c r="AA37" s="142">
        <f t="shared" si="27"/>
        <v>0</v>
      </c>
      <c r="AB37" s="142">
        <f t="shared" si="22"/>
        <v>0</v>
      </c>
      <c r="AC37" s="142">
        <f t="shared" si="22"/>
        <v>1</v>
      </c>
      <c r="AD37" s="142">
        <f t="shared" si="22"/>
        <v>0</v>
      </c>
      <c r="AE37" s="143">
        <f t="shared" si="22"/>
        <v>0</v>
      </c>
      <c r="AF37" s="123">
        <f t="shared" si="28"/>
        <v>1</v>
      </c>
    </row>
    <row r="38" spans="1:37" x14ac:dyDescent="0.25">
      <c r="A38" s="173" t="s">
        <v>43</v>
      </c>
      <c r="B38" s="67" t="s">
        <v>10</v>
      </c>
      <c r="C38" s="138"/>
      <c r="D38" s="138"/>
      <c r="E38" s="138"/>
      <c r="F38" s="138"/>
      <c r="G38" s="138"/>
      <c r="H38" s="138"/>
      <c r="I38" s="138"/>
      <c r="J38" s="102"/>
      <c r="K38" s="102"/>
      <c r="L38" s="102"/>
      <c r="M38" s="102"/>
      <c r="N38" s="102"/>
      <c r="O38" s="79">
        <f>100-(I3+I8+I13+I18+I23)</f>
        <v>41</v>
      </c>
      <c r="P38" s="69">
        <f t="shared" ref="P38:S42" si="29">100-(J3+J8+J13+J18+J23)</f>
        <v>27</v>
      </c>
      <c r="Q38" s="69">
        <f t="shared" si="29"/>
        <v>25</v>
      </c>
      <c r="R38" s="69">
        <f t="shared" si="29"/>
        <v>30</v>
      </c>
      <c r="S38" s="70">
        <f t="shared" si="29"/>
        <v>30</v>
      </c>
      <c r="T38" s="19">
        <f>SUM(O38:S38)</f>
        <v>153</v>
      </c>
      <c r="U38" s="79">
        <f>100-(I3+IF(O3="--",0,O3)+I8+IF(O8="--",0,O8)+I13+IF(O13="--",0,O13)+I18+IF(O18="--",0,O18)+I23+IF(O23="--",0,O23))</f>
        <v>35</v>
      </c>
      <c r="V38" s="69">
        <f t="shared" ref="V38:Y42" si="30">100-(J3+IF(P3="--",0,P3)+J8+IF(P8="--",0,P8)+J13+IF(P13="--",0,P13)+J18+IF(P18="--",0,P18)+J23+IF(P23="--",0,P23))</f>
        <v>27</v>
      </c>
      <c r="W38" s="69">
        <f t="shared" si="30"/>
        <v>18</v>
      </c>
      <c r="X38" s="69">
        <f t="shared" si="30"/>
        <v>29</v>
      </c>
      <c r="Y38" s="80">
        <f t="shared" si="30"/>
        <v>27</v>
      </c>
      <c r="Z38" s="128">
        <f>SUM(U38:Y38)</f>
        <v>136</v>
      </c>
      <c r="AA38" s="79">
        <f>100-(I3+IF(O3="--",0,O3)+IF(U3="--",0,U3)+I8+IF(O8="--",0,O8)+IF(U8="--",0,U8)+I13+IF(O13="--",0,O13)+IF(U13="--",0,U13)+I18+IF(O18="--",0,O18)+IF(U18="--",0,U18)+I23+IF(O23="--",0,O23)+IF(U23="--",0,U23))</f>
        <v>24</v>
      </c>
      <c r="AB38" s="69">
        <f t="shared" ref="AB38:AE42" si="31">100-(J3+IF(P3="--",0,P3)+IF(V3="--",0,V3)+J8+IF(P8="--",0,P8)+IF(V8="--",0,V8)+J13+IF(P13="--",0,P13)+IF(V13="--",0,V13)+J18+IF(P18="--",0,P18)+IF(V18="--",0,V18)+J23+IF(P23="--",0,P23)+IF(V23="--",0,V23))</f>
        <v>27</v>
      </c>
      <c r="AC38" s="69">
        <f t="shared" si="31"/>
        <v>15</v>
      </c>
      <c r="AD38" s="69">
        <f t="shared" si="31"/>
        <v>26</v>
      </c>
      <c r="AE38" s="80">
        <f t="shared" si="31"/>
        <v>23</v>
      </c>
      <c r="AF38" s="39">
        <f>SUM(AA38:AE38)</f>
        <v>115</v>
      </c>
    </row>
    <row r="39" spans="1:37" x14ac:dyDescent="0.25">
      <c r="A39" s="174"/>
      <c r="B39" s="63" t="s">
        <v>22</v>
      </c>
      <c r="J39"/>
      <c r="K39"/>
      <c r="L39"/>
      <c r="M39"/>
      <c r="N39"/>
      <c r="O39" s="81">
        <f t="shared" ref="O39:O42" si="32">100-(I4+I9+I14+I19+I24)</f>
        <v>1</v>
      </c>
      <c r="P39" s="72">
        <f t="shared" si="29"/>
        <v>0</v>
      </c>
      <c r="Q39" s="72">
        <f t="shared" si="29"/>
        <v>0</v>
      </c>
      <c r="R39" s="72">
        <f t="shared" si="29"/>
        <v>4</v>
      </c>
      <c r="S39" s="73">
        <f t="shared" si="29"/>
        <v>0</v>
      </c>
      <c r="T39" s="55">
        <f t="shared" ref="T39:T42" si="33">SUM(O39:S39)</f>
        <v>5</v>
      </c>
      <c r="U39" s="81">
        <f t="shared" ref="U39:U42" si="34">100-(I4+IF(O4="--",0,O4)+I9+IF(O9="--",0,O9)+I14+IF(O14="--",0,O14)+I19+IF(O19="--",0,O19)+I24+IF(O24="--",0,O24))</f>
        <v>1</v>
      </c>
      <c r="V39" s="72">
        <f t="shared" si="30"/>
        <v>0</v>
      </c>
      <c r="W39" s="72">
        <f t="shared" si="30"/>
        <v>0</v>
      </c>
      <c r="X39" s="72">
        <f t="shared" si="30"/>
        <v>4</v>
      </c>
      <c r="Y39" s="82">
        <f t="shared" si="30"/>
        <v>0</v>
      </c>
      <c r="Z39" s="129">
        <f t="shared" ref="Z39:Z42" si="35">SUM(U39:Y39)</f>
        <v>5</v>
      </c>
      <c r="AA39" s="81">
        <f t="shared" ref="AA39:AA42" si="36">100-(I4+IF(O4="--",0,O4)+IF(U4="--",0,U4)+I9+IF(O9="--",0,O9)+IF(U9="--",0,U9)+I14+IF(O14="--",0,O14)+IF(U14="--",0,U14)+I19+IF(O19="--",0,O19)+IF(U19="--",0,U19)+I24+IF(O24="--",0,O24)+IF(U24="--",0,U24))</f>
        <v>1</v>
      </c>
      <c r="AB39" s="72">
        <f t="shared" si="31"/>
        <v>0</v>
      </c>
      <c r="AC39" s="72">
        <f t="shared" si="31"/>
        <v>0</v>
      </c>
      <c r="AD39" s="72">
        <f t="shared" si="31"/>
        <v>0</v>
      </c>
      <c r="AE39" s="82">
        <f t="shared" si="31"/>
        <v>0</v>
      </c>
      <c r="AF39" s="125">
        <f t="shared" ref="AF39:AF42" si="37">SUM(AA39:AE39)</f>
        <v>1</v>
      </c>
    </row>
    <row r="40" spans="1:37" x14ac:dyDescent="0.25">
      <c r="A40" s="174"/>
      <c r="B40" s="63" t="s">
        <v>11</v>
      </c>
      <c r="J40"/>
      <c r="K40"/>
      <c r="L40"/>
      <c r="M40"/>
      <c r="N40"/>
      <c r="O40" s="81">
        <f t="shared" si="32"/>
        <v>100</v>
      </c>
      <c r="P40" s="72">
        <f t="shared" si="29"/>
        <v>100</v>
      </c>
      <c r="Q40" s="72">
        <f t="shared" si="29"/>
        <v>100</v>
      </c>
      <c r="R40" s="72">
        <f t="shared" si="29"/>
        <v>100</v>
      </c>
      <c r="S40" s="73">
        <f t="shared" si="29"/>
        <v>100</v>
      </c>
      <c r="T40" s="55">
        <f t="shared" si="33"/>
        <v>500</v>
      </c>
      <c r="U40" s="81">
        <f t="shared" si="34"/>
        <v>60</v>
      </c>
      <c r="V40" s="72">
        <f t="shared" si="30"/>
        <v>93</v>
      </c>
      <c r="W40" s="72">
        <f t="shared" si="30"/>
        <v>66</v>
      </c>
      <c r="X40" s="72">
        <f t="shared" si="30"/>
        <v>32</v>
      </c>
      <c r="Y40" s="82">
        <f t="shared" si="30"/>
        <v>64</v>
      </c>
      <c r="Z40" s="129">
        <f t="shared" si="35"/>
        <v>315</v>
      </c>
      <c r="AA40" s="81">
        <f t="shared" si="36"/>
        <v>40</v>
      </c>
      <c r="AB40" s="72">
        <f t="shared" si="31"/>
        <v>81</v>
      </c>
      <c r="AC40" s="72">
        <f t="shared" si="31"/>
        <v>49</v>
      </c>
      <c r="AD40" s="72">
        <f t="shared" si="31"/>
        <v>19</v>
      </c>
      <c r="AE40" s="82">
        <f t="shared" si="31"/>
        <v>49</v>
      </c>
      <c r="AF40" s="125">
        <f t="shared" si="37"/>
        <v>238</v>
      </c>
    </row>
    <row r="41" spans="1:37" x14ac:dyDescent="0.25">
      <c r="A41" s="174"/>
      <c r="B41" s="64" t="s">
        <v>8</v>
      </c>
      <c r="J41"/>
      <c r="K41"/>
      <c r="L41"/>
      <c r="M41"/>
      <c r="N41"/>
      <c r="O41" s="81">
        <f t="shared" si="32"/>
        <v>32</v>
      </c>
      <c r="P41" s="72">
        <f t="shared" si="29"/>
        <v>3</v>
      </c>
      <c r="Q41" s="72">
        <f t="shared" si="29"/>
        <v>25</v>
      </c>
      <c r="R41" s="72">
        <f t="shared" si="29"/>
        <v>16</v>
      </c>
      <c r="S41" s="73">
        <f t="shared" si="29"/>
        <v>23</v>
      </c>
      <c r="T41" s="55">
        <f t="shared" si="33"/>
        <v>99</v>
      </c>
      <c r="U41" s="81">
        <f t="shared" si="34"/>
        <v>11</v>
      </c>
      <c r="V41" s="72">
        <f t="shared" si="30"/>
        <v>2</v>
      </c>
      <c r="W41" s="72">
        <f t="shared" si="30"/>
        <v>13</v>
      </c>
      <c r="X41" s="72">
        <f t="shared" si="30"/>
        <v>5</v>
      </c>
      <c r="Y41" s="82">
        <f t="shared" si="30"/>
        <v>16</v>
      </c>
      <c r="Z41" s="129">
        <f t="shared" si="35"/>
        <v>47</v>
      </c>
      <c r="AA41" s="81">
        <f t="shared" si="36"/>
        <v>5</v>
      </c>
      <c r="AB41" s="72">
        <f t="shared" si="31"/>
        <v>1</v>
      </c>
      <c r="AC41" s="72">
        <f t="shared" si="31"/>
        <v>4</v>
      </c>
      <c r="AD41" s="72">
        <f t="shared" si="31"/>
        <v>1</v>
      </c>
      <c r="AE41" s="82">
        <f t="shared" si="31"/>
        <v>13</v>
      </c>
      <c r="AF41" s="125">
        <f t="shared" si="37"/>
        <v>24</v>
      </c>
    </row>
    <row r="42" spans="1:37" ht="15.75" thickBot="1" x14ac:dyDescent="0.3">
      <c r="A42" s="175"/>
      <c r="B42" s="65" t="s">
        <v>9</v>
      </c>
      <c r="C42" s="139"/>
      <c r="D42" s="139"/>
      <c r="E42" s="139"/>
      <c r="F42" s="139"/>
      <c r="G42" s="139"/>
      <c r="H42" s="139"/>
      <c r="I42" s="139"/>
      <c r="J42" s="103"/>
      <c r="K42" s="103"/>
      <c r="L42" s="103"/>
      <c r="M42" s="103"/>
      <c r="N42" s="103"/>
      <c r="O42" s="83">
        <f t="shared" si="32"/>
        <v>0</v>
      </c>
      <c r="P42" s="75">
        <f t="shared" si="29"/>
        <v>0</v>
      </c>
      <c r="Q42" s="75">
        <f t="shared" si="29"/>
        <v>1</v>
      </c>
      <c r="R42" s="75">
        <f t="shared" si="29"/>
        <v>4</v>
      </c>
      <c r="S42" s="76">
        <f t="shared" si="29"/>
        <v>0</v>
      </c>
      <c r="T42" s="56">
        <f t="shared" si="33"/>
        <v>5</v>
      </c>
      <c r="U42" s="83">
        <f t="shared" si="34"/>
        <v>0</v>
      </c>
      <c r="V42" s="75">
        <f t="shared" si="30"/>
        <v>0</v>
      </c>
      <c r="W42" s="75">
        <f t="shared" si="30"/>
        <v>1</v>
      </c>
      <c r="X42" s="75">
        <f t="shared" si="30"/>
        <v>4</v>
      </c>
      <c r="Y42" s="84">
        <f t="shared" si="30"/>
        <v>0</v>
      </c>
      <c r="Z42" s="130">
        <f t="shared" si="35"/>
        <v>5</v>
      </c>
      <c r="AA42" s="83">
        <f t="shared" si="36"/>
        <v>0</v>
      </c>
      <c r="AB42" s="75">
        <f t="shared" si="31"/>
        <v>0</v>
      </c>
      <c r="AC42" s="75">
        <f t="shared" si="31"/>
        <v>1</v>
      </c>
      <c r="AD42" s="75">
        <f t="shared" si="31"/>
        <v>1</v>
      </c>
      <c r="AE42" s="84">
        <f t="shared" si="31"/>
        <v>0</v>
      </c>
      <c r="AF42" s="126">
        <f t="shared" si="37"/>
        <v>2</v>
      </c>
    </row>
    <row r="43" spans="1:37" ht="13.5" customHeight="1" x14ac:dyDescent="0.25">
      <c r="A43" s="173" t="s">
        <v>44</v>
      </c>
      <c r="B43" s="67" t="s">
        <v>10</v>
      </c>
      <c r="C43" s="138"/>
      <c r="D43" s="138"/>
      <c r="E43" s="138"/>
      <c r="F43" s="138"/>
      <c r="G43" s="138"/>
      <c r="H43" s="138"/>
      <c r="I43" s="138"/>
      <c r="J43" s="102"/>
      <c r="K43" s="102"/>
      <c r="L43" s="102"/>
      <c r="M43" s="102"/>
      <c r="N43" s="102"/>
      <c r="O43" s="79">
        <f>IF(O38=0,0,100*O33/O38)</f>
        <v>85.365853658536579</v>
      </c>
      <c r="P43" s="69">
        <f t="shared" ref="P43:S43" si="38">IF(P38=0,0,100*P33/P38)</f>
        <v>100</v>
      </c>
      <c r="Q43" s="69">
        <f t="shared" si="38"/>
        <v>72</v>
      </c>
      <c r="R43" s="69">
        <f t="shared" si="38"/>
        <v>96.666666666666671</v>
      </c>
      <c r="S43" s="70">
        <f t="shared" si="38"/>
        <v>90</v>
      </c>
      <c r="T43" s="19">
        <f>IF(T38=0,0,100*T33/T38)</f>
        <v>88.888888888888886</v>
      </c>
      <c r="U43" s="79">
        <f>IF(U38=0,0,100*U33/U38)</f>
        <v>68.571428571428569</v>
      </c>
      <c r="V43" s="69">
        <f t="shared" ref="V43:Y43" si="39">IF(V38=0,0,100*V33/V38)</f>
        <v>100</v>
      </c>
      <c r="W43" s="69">
        <f t="shared" si="39"/>
        <v>83.333333333333329</v>
      </c>
      <c r="X43" s="69">
        <f t="shared" si="39"/>
        <v>89.65517241379311</v>
      </c>
      <c r="Y43" s="80">
        <f t="shared" si="39"/>
        <v>85.18518518518519</v>
      </c>
      <c r="Z43" s="19">
        <f>IF(Z38=0,0,100*Z33/Z38)</f>
        <v>84.558823529411768</v>
      </c>
      <c r="AA43" s="79">
        <f>IF(AA38=0,0,100*AA33/AA38)</f>
        <v>95.833333333333329</v>
      </c>
      <c r="AB43" s="69">
        <f t="shared" ref="AB43:AF47" si="40">IF(AB38=0,0,100*AB33/AB38)</f>
        <v>100</v>
      </c>
      <c r="AC43" s="69">
        <f t="shared" si="40"/>
        <v>100</v>
      </c>
      <c r="AD43" s="69">
        <f t="shared" si="40"/>
        <v>100</v>
      </c>
      <c r="AE43" s="80">
        <f t="shared" si="40"/>
        <v>100</v>
      </c>
      <c r="AF43" s="149">
        <f>IF(AF38=0,0,100*AF33/AF38)</f>
        <v>99.130434782608702</v>
      </c>
    </row>
    <row r="44" spans="1:37" ht="13.5" customHeight="1" x14ac:dyDescent="0.25">
      <c r="A44" s="176"/>
      <c r="B44" s="63" t="s">
        <v>22</v>
      </c>
      <c r="J44"/>
      <c r="K44"/>
      <c r="L44"/>
      <c r="M44"/>
      <c r="N44"/>
      <c r="O44" s="81">
        <f t="shared" ref="O44:AD47" si="41">IF(O39=0,0,100*O34/O39)</f>
        <v>100</v>
      </c>
      <c r="P44" s="72">
        <f t="shared" si="41"/>
        <v>0</v>
      </c>
      <c r="Q44" s="72">
        <f t="shared" si="41"/>
        <v>0</v>
      </c>
      <c r="R44" s="72">
        <f t="shared" si="41"/>
        <v>100</v>
      </c>
      <c r="S44" s="73">
        <f t="shared" si="41"/>
        <v>0</v>
      </c>
      <c r="T44" s="55">
        <f t="shared" si="41"/>
        <v>100</v>
      </c>
      <c r="U44" s="81">
        <f t="shared" si="41"/>
        <v>100</v>
      </c>
      <c r="V44" s="72">
        <f t="shared" si="41"/>
        <v>0</v>
      </c>
      <c r="W44" s="72">
        <f t="shared" si="41"/>
        <v>0</v>
      </c>
      <c r="X44" s="72">
        <f t="shared" si="41"/>
        <v>0</v>
      </c>
      <c r="Y44" s="82">
        <f t="shared" si="41"/>
        <v>0</v>
      </c>
      <c r="Z44" s="18">
        <f t="shared" si="41"/>
        <v>20</v>
      </c>
      <c r="AA44" s="81">
        <f t="shared" si="41"/>
        <v>100</v>
      </c>
      <c r="AB44" s="72">
        <f t="shared" si="41"/>
        <v>0</v>
      </c>
      <c r="AC44" s="72">
        <f t="shared" si="41"/>
        <v>0</v>
      </c>
      <c r="AD44" s="72">
        <f t="shared" si="41"/>
        <v>0</v>
      </c>
      <c r="AE44" s="82">
        <f t="shared" si="40"/>
        <v>0</v>
      </c>
      <c r="AF44" s="150">
        <f t="shared" si="40"/>
        <v>100</v>
      </c>
    </row>
    <row r="45" spans="1:37" x14ac:dyDescent="0.25">
      <c r="A45" s="176"/>
      <c r="B45" s="63" t="s">
        <v>11</v>
      </c>
      <c r="J45"/>
      <c r="K45"/>
      <c r="L45"/>
      <c r="M45"/>
      <c r="N45"/>
      <c r="O45" s="81">
        <f t="shared" si="41"/>
        <v>60</v>
      </c>
      <c r="P45" s="72">
        <f t="shared" si="41"/>
        <v>93</v>
      </c>
      <c r="Q45" s="72">
        <f t="shared" si="41"/>
        <v>66</v>
      </c>
      <c r="R45" s="72">
        <f t="shared" si="41"/>
        <v>32</v>
      </c>
      <c r="S45" s="73">
        <f t="shared" si="41"/>
        <v>64</v>
      </c>
      <c r="T45" s="55">
        <f t="shared" si="41"/>
        <v>63</v>
      </c>
      <c r="U45" s="81">
        <f t="shared" si="41"/>
        <v>66.666666666666671</v>
      </c>
      <c r="V45" s="72">
        <f t="shared" si="41"/>
        <v>87.096774193548384</v>
      </c>
      <c r="W45" s="72">
        <f t="shared" si="41"/>
        <v>74.242424242424249</v>
      </c>
      <c r="X45" s="72">
        <f t="shared" si="41"/>
        <v>59.375</v>
      </c>
      <c r="Y45" s="82">
        <f t="shared" si="41"/>
        <v>76.5625</v>
      </c>
      <c r="Z45" s="18">
        <f t="shared" si="41"/>
        <v>75.555555555555557</v>
      </c>
      <c r="AA45" s="81">
        <f t="shared" si="41"/>
        <v>62.5</v>
      </c>
      <c r="AB45" s="72">
        <f t="shared" si="41"/>
        <v>97.53086419753086</v>
      </c>
      <c r="AC45" s="72">
        <f t="shared" si="41"/>
        <v>57.142857142857146</v>
      </c>
      <c r="AD45" s="72">
        <f t="shared" si="41"/>
        <v>78.94736842105263</v>
      </c>
      <c r="AE45" s="82">
        <f t="shared" si="40"/>
        <v>65.306122448979593</v>
      </c>
      <c r="AF45" s="150">
        <f t="shared" si="40"/>
        <v>75.210084033613441</v>
      </c>
    </row>
    <row r="46" spans="1:37" x14ac:dyDescent="0.25">
      <c r="A46" s="176"/>
      <c r="B46" s="64" t="s">
        <v>8</v>
      </c>
      <c r="J46"/>
      <c r="K46"/>
      <c r="L46"/>
      <c r="M46"/>
      <c r="N46"/>
      <c r="O46" s="81">
        <f t="shared" si="41"/>
        <v>34.375</v>
      </c>
      <c r="P46" s="72">
        <f t="shared" si="41"/>
        <v>66.666666666666671</v>
      </c>
      <c r="Q46" s="72">
        <f t="shared" si="41"/>
        <v>52</v>
      </c>
      <c r="R46" s="72">
        <f t="shared" si="41"/>
        <v>31.25</v>
      </c>
      <c r="S46" s="73">
        <f t="shared" si="41"/>
        <v>69.565217391304344</v>
      </c>
      <c r="T46" s="55">
        <f t="shared" si="41"/>
        <v>47.474747474747474</v>
      </c>
      <c r="U46" s="81">
        <f t="shared" si="41"/>
        <v>45.454545454545453</v>
      </c>
      <c r="V46" s="72">
        <f t="shared" si="41"/>
        <v>50</v>
      </c>
      <c r="W46" s="72">
        <f t="shared" si="41"/>
        <v>30.76923076923077</v>
      </c>
      <c r="X46" s="72">
        <f t="shared" si="41"/>
        <v>20</v>
      </c>
      <c r="Y46" s="82">
        <f t="shared" si="41"/>
        <v>81.25</v>
      </c>
      <c r="Z46" s="18">
        <f t="shared" si="41"/>
        <v>51.063829787234042</v>
      </c>
      <c r="AA46" s="81">
        <f t="shared" si="41"/>
        <v>60</v>
      </c>
      <c r="AB46" s="72">
        <f t="shared" si="41"/>
        <v>100</v>
      </c>
      <c r="AC46" s="72">
        <f t="shared" si="41"/>
        <v>100</v>
      </c>
      <c r="AD46" s="72">
        <f t="shared" si="41"/>
        <v>100</v>
      </c>
      <c r="AE46" s="82">
        <f t="shared" si="40"/>
        <v>100</v>
      </c>
      <c r="AF46" s="150">
        <f t="shared" si="40"/>
        <v>91.666666666666671</v>
      </c>
    </row>
    <row r="47" spans="1:37" ht="15.75" thickBot="1" x14ac:dyDescent="0.3">
      <c r="A47" s="177"/>
      <c r="B47" s="65" t="s">
        <v>9</v>
      </c>
      <c r="C47" s="139"/>
      <c r="D47" s="139"/>
      <c r="E47" s="139"/>
      <c r="F47" s="139"/>
      <c r="G47" s="139"/>
      <c r="H47" s="139"/>
      <c r="I47" s="139"/>
      <c r="J47" s="103"/>
      <c r="K47" s="103"/>
      <c r="L47" s="103"/>
      <c r="M47" s="103"/>
      <c r="N47" s="103"/>
      <c r="O47" s="83">
        <f t="shared" si="41"/>
        <v>0</v>
      </c>
      <c r="P47" s="75">
        <f t="shared" si="41"/>
        <v>0</v>
      </c>
      <c r="Q47" s="75">
        <f t="shared" si="41"/>
        <v>100</v>
      </c>
      <c r="R47" s="75">
        <f t="shared" si="41"/>
        <v>100</v>
      </c>
      <c r="S47" s="76">
        <f t="shared" si="41"/>
        <v>0</v>
      </c>
      <c r="T47" s="56">
        <f t="shared" si="41"/>
        <v>100</v>
      </c>
      <c r="U47" s="83">
        <f t="shared" si="41"/>
        <v>0</v>
      </c>
      <c r="V47" s="75">
        <f t="shared" si="41"/>
        <v>0</v>
      </c>
      <c r="W47" s="75">
        <f t="shared" si="41"/>
        <v>100</v>
      </c>
      <c r="X47" s="75">
        <f t="shared" si="41"/>
        <v>25</v>
      </c>
      <c r="Y47" s="84">
        <f t="shared" si="41"/>
        <v>0</v>
      </c>
      <c r="Z47" s="20">
        <f t="shared" si="41"/>
        <v>40</v>
      </c>
      <c r="AA47" s="83">
        <f t="shared" si="41"/>
        <v>0</v>
      </c>
      <c r="AB47" s="75">
        <f t="shared" si="41"/>
        <v>0</v>
      </c>
      <c r="AC47" s="75">
        <f t="shared" si="41"/>
        <v>100</v>
      </c>
      <c r="AD47" s="75">
        <f t="shared" si="41"/>
        <v>0</v>
      </c>
      <c r="AE47" s="84">
        <f t="shared" si="40"/>
        <v>0</v>
      </c>
      <c r="AF47" s="151">
        <f t="shared" si="40"/>
        <v>50</v>
      </c>
    </row>
    <row r="48" spans="1:37" x14ac:dyDescent="0.25">
      <c r="J48"/>
      <c r="K48"/>
      <c r="L48"/>
      <c r="M48"/>
      <c r="N48"/>
      <c r="O48"/>
      <c r="P48"/>
      <c r="Q48"/>
      <c r="R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0:37" x14ac:dyDescent="0.25">
      <c r="J49"/>
      <c r="K49"/>
      <c r="L49"/>
      <c r="M49"/>
      <c r="N49"/>
      <c r="O49"/>
      <c r="P49"/>
      <c r="Q49"/>
      <c r="R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0:37" x14ac:dyDescent="0.25">
      <c r="J50"/>
      <c r="K50"/>
      <c r="L50"/>
      <c r="M50"/>
      <c r="N50"/>
      <c r="O50"/>
      <c r="P50"/>
      <c r="Q50"/>
      <c r="R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0:37" x14ac:dyDescent="0.25">
      <c r="J51"/>
      <c r="K51"/>
      <c r="L51"/>
      <c r="M51"/>
      <c r="N51"/>
      <c r="O51"/>
      <c r="P51"/>
      <c r="Q51"/>
      <c r="R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0:37" x14ac:dyDescent="0.25">
      <c r="J52"/>
      <c r="K52"/>
      <c r="L52"/>
      <c r="M52"/>
      <c r="N52"/>
      <c r="O52"/>
      <c r="P52"/>
      <c r="Q52"/>
      <c r="R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0:37" x14ac:dyDescent="0.25">
      <c r="J53"/>
      <c r="K53"/>
      <c r="L53"/>
      <c r="M53"/>
      <c r="N53"/>
      <c r="O53"/>
      <c r="P53"/>
      <c r="Q53"/>
      <c r="R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0:37" x14ac:dyDescent="0.25">
      <c r="J54"/>
      <c r="K54"/>
      <c r="L54"/>
      <c r="M54"/>
      <c r="N54"/>
      <c r="O54"/>
      <c r="P54"/>
      <c r="Q54"/>
      <c r="R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0:37" x14ac:dyDescent="0.25">
      <c r="J55"/>
      <c r="K55"/>
      <c r="L55"/>
      <c r="M55"/>
      <c r="N55"/>
      <c r="O55"/>
      <c r="P55"/>
      <c r="Q55"/>
      <c r="R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0:37" x14ac:dyDescent="0.25">
      <c r="J56"/>
      <c r="K56"/>
      <c r="L56"/>
      <c r="M56"/>
      <c r="N56"/>
      <c r="O56"/>
      <c r="P56"/>
      <c r="Q56"/>
      <c r="R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0:37" x14ac:dyDescent="0.25">
      <c r="J57"/>
      <c r="K57"/>
      <c r="L57"/>
      <c r="M57"/>
      <c r="N57"/>
      <c r="O57"/>
      <c r="P57"/>
      <c r="Q57"/>
      <c r="R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0:37" x14ac:dyDescent="0.25">
      <c r="J58"/>
      <c r="K58"/>
      <c r="L58"/>
      <c r="M58"/>
      <c r="N58"/>
      <c r="O58"/>
      <c r="P58"/>
      <c r="Q58"/>
      <c r="R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0:37" x14ac:dyDescent="0.25">
      <c r="J59"/>
      <c r="K59"/>
      <c r="L59"/>
      <c r="M59"/>
      <c r="N59"/>
      <c r="O59"/>
      <c r="P59"/>
      <c r="Q59"/>
      <c r="R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0:37" x14ac:dyDescent="0.25">
      <c r="J60"/>
      <c r="K60"/>
      <c r="L60"/>
      <c r="M60"/>
      <c r="N60"/>
      <c r="O60"/>
      <c r="P60"/>
      <c r="Q60"/>
      <c r="R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</sheetData>
  <mergeCells count="15">
    <mergeCell ref="AG1:AK1"/>
    <mergeCell ref="C1:H1"/>
    <mergeCell ref="I1:N1"/>
    <mergeCell ref="O1:T1"/>
    <mergeCell ref="U1:Z1"/>
    <mergeCell ref="AA1:AF1"/>
    <mergeCell ref="A28:A32"/>
    <mergeCell ref="A33:A37"/>
    <mergeCell ref="A38:A42"/>
    <mergeCell ref="A43:A47"/>
    <mergeCell ref="A3:A7"/>
    <mergeCell ref="A8:A12"/>
    <mergeCell ref="A13:A17"/>
    <mergeCell ref="A18:A22"/>
    <mergeCell ref="A23:A2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7626-CC82-4C49-9C6B-07424EB9DF6E}">
  <dimension ref="A1:AC59"/>
  <sheetViews>
    <sheetView zoomScale="80" zoomScaleNormal="80" workbookViewId="0">
      <selection activeCell="AB19" sqref="AB19"/>
    </sheetView>
  </sheetViews>
  <sheetFormatPr baseColWidth="10" defaultRowHeight="15" x14ac:dyDescent="0.25"/>
  <cols>
    <col min="1" max="1" width="9.85546875" customWidth="1"/>
    <col min="2" max="2" width="12.42578125" customWidth="1"/>
    <col min="3" max="5" width="5.85546875" style="1" customWidth="1"/>
    <col min="6" max="6" width="7.28515625" style="1" customWidth="1"/>
    <col min="7" max="25" width="5.85546875" style="1" customWidth="1"/>
    <col min="26" max="28" width="7" style="1" customWidth="1"/>
    <col min="29" max="29" width="7.85546875" style="1" customWidth="1"/>
  </cols>
  <sheetData>
    <row r="1" spans="1:29" ht="15.75" thickBot="1" x14ac:dyDescent="0.3">
      <c r="C1" s="185" t="s">
        <v>16</v>
      </c>
      <c r="D1" s="186"/>
      <c r="E1" s="186"/>
      <c r="F1" s="187"/>
      <c r="G1" s="188" t="s">
        <v>17</v>
      </c>
      <c r="H1" s="189"/>
      <c r="I1" s="189"/>
      <c r="J1" s="190"/>
      <c r="K1" s="191" t="s">
        <v>18</v>
      </c>
      <c r="L1" s="192"/>
      <c r="M1" s="192"/>
      <c r="N1" s="193"/>
      <c r="O1" s="194" t="s">
        <v>19</v>
      </c>
      <c r="P1" s="195"/>
      <c r="Q1" s="195"/>
      <c r="R1" s="196"/>
      <c r="S1" s="197" t="s">
        <v>20</v>
      </c>
      <c r="T1" s="198"/>
      <c r="U1" s="198"/>
      <c r="V1" s="200"/>
      <c r="W1" s="201" t="s">
        <v>50</v>
      </c>
      <c r="X1" s="202"/>
      <c r="Y1" s="203"/>
      <c r="Z1"/>
      <c r="AA1"/>
      <c r="AB1"/>
      <c r="AC1"/>
    </row>
    <row r="2" spans="1:29" ht="15.75" thickBot="1" x14ac:dyDescent="0.3">
      <c r="A2" s="6" t="s">
        <v>0</v>
      </c>
      <c r="B2" s="7" t="s">
        <v>7</v>
      </c>
      <c r="C2" s="8" t="s">
        <v>2</v>
      </c>
      <c r="D2" s="8" t="s">
        <v>3</v>
      </c>
      <c r="E2" s="8" t="s">
        <v>4</v>
      </c>
      <c r="F2" s="17" t="s">
        <v>23</v>
      </c>
      <c r="G2" s="8" t="s">
        <v>2</v>
      </c>
      <c r="H2" s="8" t="s">
        <v>3</v>
      </c>
      <c r="I2" s="8" t="s">
        <v>4</v>
      </c>
      <c r="J2" s="17" t="s">
        <v>24</v>
      </c>
      <c r="K2" s="8" t="s">
        <v>2</v>
      </c>
      <c r="L2" s="8" t="s">
        <v>3</v>
      </c>
      <c r="M2" s="8" t="s">
        <v>4</v>
      </c>
      <c r="N2" s="17" t="s">
        <v>24</v>
      </c>
      <c r="O2" s="8" t="s">
        <v>2</v>
      </c>
      <c r="P2" s="8" t="s">
        <v>3</v>
      </c>
      <c r="Q2" s="8" t="s">
        <v>4</v>
      </c>
      <c r="R2" s="17" t="s">
        <v>24</v>
      </c>
      <c r="S2" s="40" t="s">
        <v>2</v>
      </c>
      <c r="T2" s="40" t="s">
        <v>3</v>
      </c>
      <c r="U2" s="40" t="s">
        <v>4</v>
      </c>
      <c r="V2" s="17" t="s">
        <v>24</v>
      </c>
      <c r="W2" s="169" t="s">
        <v>2</v>
      </c>
      <c r="X2" s="169" t="s">
        <v>3</v>
      </c>
      <c r="Y2" s="169" t="s">
        <v>4</v>
      </c>
      <c r="Z2"/>
      <c r="AA2"/>
      <c r="AB2"/>
      <c r="AC2"/>
    </row>
    <row r="3" spans="1:29" x14ac:dyDescent="0.25">
      <c r="A3" s="178" t="s">
        <v>25</v>
      </c>
      <c r="B3" s="9" t="s">
        <v>10</v>
      </c>
      <c r="C3" s="3">
        <v>100</v>
      </c>
      <c r="D3" s="3">
        <v>95</v>
      </c>
      <c r="E3" s="3">
        <v>100</v>
      </c>
      <c r="F3" s="19">
        <f>SUM(C3:E3)/3</f>
        <v>98.333333333333329</v>
      </c>
      <c r="G3" s="3">
        <v>16</v>
      </c>
      <c r="H3" s="3">
        <v>9</v>
      </c>
      <c r="I3" s="3">
        <v>20</v>
      </c>
      <c r="J3" s="18">
        <f>100*SUM(G3:I3)/60</f>
        <v>75</v>
      </c>
      <c r="K3" s="3">
        <v>4</v>
      </c>
      <c r="L3" s="21">
        <v>10</v>
      </c>
      <c r="M3" s="21" t="s">
        <v>21</v>
      </c>
      <c r="N3" s="18">
        <f>J3+100*SUM(K3:M3)/60</f>
        <v>98.333333333333329</v>
      </c>
      <c r="O3" s="36" t="s">
        <v>21</v>
      </c>
      <c r="P3" s="23">
        <v>0</v>
      </c>
      <c r="Q3" s="33" t="s">
        <v>21</v>
      </c>
      <c r="R3" s="42">
        <f>N3+100*SUM(O3:Q3)/60</f>
        <v>98.333333333333329</v>
      </c>
      <c r="S3" s="36" t="s">
        <v>21</v>
      </c>
      <c r="T3" s="23">
        <v>0</v>
      </c>
      <c r="U3" s="33" t="s">
        <v>21</v>
      </c>
      <c r="V3" s="160">
        <f>R3+100*SUM(S3:U3)/60</f>
        <v>98.333333333333329</v>
      </c>
      <c r="W3" s="22">
        <v>0</v>
      </c>
      <c r="X3" s="5">
        <v>3</v>
      </c>
      <c r="Y3" s="24">
        <v>0</v>
      </c>
      <c r="Z3"/>
      <c r="AA3"/>
      <c r="AB3"/>
      <c r="AC3"/>
    </row>
    <row r="4" spans="1:29" x14ac:dyDescent="0.25">
      <c r="A4" s="179"/>
      <c r="B4" s="9" t="s">
        <v>22</v>
      </c>
      <c r="C4" s="3">
        <v>100</v>
      </c>
      <c r="D4" s="3">
        <v>100</v>
      </c>
      <c r="E4" s="3">
        <v>100</v>
      </c>
      <c r="F4" s="18">
        <f t="shared" ref="F4:F27" si="0">SUM(C4:E4)/3</f>
        <v>100</v>
      </c>
      <c r="G4" s="3">
        <v>20</v>
      </c>
      <c r="H4" s="3">
        <v>20</v>
      </c>
      <c r="I4" s="3">
        <v>20</v>
      </c>
      <c r="J4" s="18">
        <f>100*SUM(G4:I4)/60</f>
        <v>100</v>
      </c>
      <c r="K4" s="21" t="s">
        <v>21</v>
      </c>
      <c r="L4" s="21" t="s">
        <v>21</v>
      </c>
      <c r="M4" s="21" t="s">
        <v>21</v>
      </c>
      <c r="N4" s="18">
        <f>J4+100*SUM(K4:M4)/60</f>
        <v>100</v>
      </c>
      <c r="O4" s="25" t="s">
        <v>21</v>
      </c>
      <c r="P4" s="21" t="s">
        <v>21</v>
      </c>
      <c r="Q4" s="26" t="s">
        <v>21</v>
      </c>
      <c r="R4" s="42">
        <f>N4+100*SUM(O4:Q4)/60</f>
        <v>100</v>
      </c>
      <c r="S4" s="45" t="s">
        <v>21</v>
      </c>
      <c r="T4" s="44" t="s">
        <v>21</v>
      </c>
      <c r="U4" s="46" t="s">
        <v>21</v>
      </c>
      <c r="V4" s="160">
        <f>R4+100*SUM(S4:U4)/60</f>
        <v>100</v>
      </c>
      <c r="W4" s="35">
        <v>0</v>
      </c>
      <c r="X4" s="2">
        <v>0</v>
      </c>
      <c r="Y4" s="28">
        <v>0</v>
      </c>
      <c r="Z4"/>
      <c r="AA4"/>
      <c r="AB4"/>
      <c r="AC4"/>
    </row>
    <row r="5" spans="1:29" x14ac:dyDescent="0.25">
      <c r="A5" s="179"/>
      <c r="B5" s="9" t="s">
        <v>11</v>
      </c>
      <c r="C5" s="3">
        <v>100</v>
      </c>
      <c r="D5" s="3">
        <v>90</v>
      </c>
      <c r="E5" s="3">
        <v>100</v>
      </c>
      <c r="F5" s="18">
        <f t="shared" si="0"/>
        <v>96.666666666666671</v>
      </c>
      <c r="G5" s="3">
        <v>6</v>
      </c>
      <c r="H5" s="3">
        <v>12</v>
      </c>
      <c r="I5" s="3">
        <v>5</v>
      </c>
      <c r="J5" s="18">
        <f>100*SUM(G5:I5)/60</f>
        <v>38.333333333333336</v>
      </c>
      <c r="K5" s="3">
        <v>10</v>
      </c>
      <c r="L5" s="3">
        <v>4</v>
      </c>
      <c r="M5" s="3">
        <v>7</v>
      </c>
      <c r="N5" s="18">
        <f>J5+100*SUM(K5:M5)/60</f>
        <v>73.333333333333343</v>
      </c>
      <c r="O5" s="25">
        <v>4</v>
      </c>
      <c r="P5" s="3">
        <v>2</v>
      </c>
      <c r="Q5" s="27">
        <v>6</v>
      </c>
      <c r="R5" s="42">
        <f>N5+100*SUM(O5:Q5)/60</f>
        <v>93.333333333333343</v>
      </c>
      <c r="S5" s="25" t="s">
        <v>21</v>
      </c>
      <c r="T5" s="2">
        <v>0</v>
      </c>
      <c r="U5" s="28">
        <v>2</v>
      </c>
      <c r="V5" s="160">
        <f>R5+100*SUM(S5:U5)/60</f>
        <v>96.666666666666671</v>
      </c>
      <c r="W5" s="35">
        <v>0</v>
      </c>
      <c r="X5" s="2">
        <v>0</v>
      </c>
      <c r="Y5" s="28">
        <v>0</v>
      </c>
      <c r="Z5"/>
      <c r="AA5"/>
      <c r="AB5"/>
      <c r="AC5"/>
    </row>
    <row r="6" spans="1:29" x14ac:dyDescent="0.25">
      <c r="A6" s="180"/>
      <c r="B6" s="10" t="s">
        <v>8</v>
      </c>
      <c r="C6" s="2">
        <v>100</v>
      </c>
      <c r="D6" s="2">
        <v>100</v>
      </c>
      <c r="E6" s="2">
        <v>100</v>
      </c>
      <c r="F6" s="18">
        <f t="shared" si="0"/>
        <v>100</v>
      </c>
      <c r="G6" s="2">
        <v>7</v>
      </c>
      <c r="H6" s="2">
        <v>12</v>
      </c>
      <c r="I6" s="2">
        <v>15</v>
      </c>
      <c r="J6" s="18">
        <f>100*SUM(G6:I6)/60</f>
        <v>56.666666666666664</v>
      </c>
      <c r="K6" s="2">
        <v>10</v>
      </c>
      <c r="L6" s="21">
        <v>8</v>
      </c>
      <c r="M6" s="21">
        <v>5</v>
      </c>
      <c r="N6" s="18">
        <f>J6+100*SUM(K6:M6)/60</f>
        <v>95</v>
      </c>
      <c r="O6" s="35">
        <v>3</v>
      </c>
      <c r="P6" s="21" t="s">
        <v>21</v>
      </c>
      <c r="Q6" s="26" t="s">
        <v>21</v>
      </c>
      <c r="R6" s="42">
        <f>N6+100*SUM(O6:Q6)/60</f>
        <v>100</v>
      </c>
      <c r="S6" s="25" t="s">
        <v>21</v>
      </c>
      <c r="T6" s="21" t="s">
        <v>21</v>
      </c>
      <c r="U6" s="26" t="s">
        <v>21</v>
      </c>
      <c r="V6" s="160">
        <f>R6+100*SUM(S6:U6)/60</f>
        <v>100</v>
      </c>
      <c r="W6" s="35">
        <v>0</v>
      </c>
      <c r="X6" s="2">
        <v>0</v>
      </c>
      <c r="Y6" s="28">
        <v>0</v>
      </c>
      <c r="Z6"/>
      <c r="AA6"/>
      <c r="AB6"/>
      <c r="AC6"/>
    </row>
    <row r="7" spans="1:29" ht="15.75" thickBot="1" x14ac:dyDescent="0.3">
      <c r="A7" s="181"/>
      <c r="B7" s="11" t="s">
        <v>9</v>
      </c>
      <c r="C7" s="4">
        <v>100</v>
      </c>
      <c r="D7" s="4">
        <v>100</v>
      </c>
      <c r="E7" s="4">
        <v>100</v>
      </c>
      <c r="F7" s="20">
        <f t="shared" si="0"/>
        <v>100</v>
      </c>
      <c r="G7" s="4">
        <v>20</v>
      </c>
      <c r="H7" s="4">
        <v>20</v>
      </c>
      <c r="I7" s="4">
        <v>19</v>
      </c>
      <c r="J7" s="20">
        <f t="shared" ref="J7:J27" si="1">100*SUM(G7:I7)/60</f>
        <v>98.333333333333329</v>
      </c>
      <c r="K7" s="21" t="s">
        <v>21</v>
      </c>
      <c r="L7" s="21" t="s">
        <v>21</v>
      </c>
      <c r="M7" s="32">
        <v>1</v>
      </c>
      <c r="N7" s="20">
        <f t="shared" ref="N7:N27" si="2">J7+100*SUM(K7:M7)/60</f>
        <v>100</v>
      </c>
      <c r="O7" s="29" t="s">
        <v>21</v>
      </c>
      <c r="P7" s="30" t="s">
        <v>21</v>
      </c>
      <c r="Q7" s="31" t="s">
        <v>21</v>
      </c>
      <c r="R7" s="43">
        <f t="shared" ref="R7:R27" si="3">N7+100*SUM(O7:Q7)/60</f>
        <v>100</v>
      </c>
      <c r="S7" s="29" t="s">
        <v>21</v>
      </c>
      <c r="T7" s="30" t="s">
        <v>21</v>
      </c>
      <c r="U7" s="31" t="s">
        <v>21</v>
      </c>
      <c r="V7" s="161">
        <f t="shared" ref="V7:V27" si="4">R7+100*SUM(S7:U7)/60</f>
        <v>100</v>
      </c>
      <c r="W7" s="163">
        <v>0</v>
      </c>
      <c r="X7" s="4">
        <v>0</v>
      </c>
      <c r="Y7" s="164">
        <v>0</v>
      </c>
      <c r="Z7"/>
      <c r="AA7"/>
      <c r="AB7"/>
      <c r="AC7"/>
    </row>
    <row r="8" spans="1:29" x14ac:dyDescent="0.25">
      <c r="A8" s="178" t="s">
        <v>26</v>
      </c>
      <c r="B8" s="9" t="s">
        <v>10</v>
      </c>
      <c r="C8" s="5">
        <v>75</v>
      </c>
      <c r="D8" s="5">
        <v>100</v>
      </c>
      <c r="E8" s="5">
        <v>100</v>
      </c>
      <c r="F8" s="19">
        <f t="shared" si="0"/>
        <v>91.666666666666671</v>
      </c>
      <c r="G8" s="5">
        <v>5</v>
      </c>
      <c r="H8" s="5">
        <v>12</v>
      </c>
      <c r="I8" s="5">
        <v>19</v>
      </c>
      <c r="J8" s="19">
        <f t="shared" si="1"/>
        <v>60</v>
      </c>
      <c r="K8" s="22">
        <v>10</v>
      </c>
      <c r="L8" s="5">
        <v>8</v>
      </c>
      <c r="M8" s="23">
        <v>1</v>
      </c>
      <c r="N8" s="19">
        <f t="shared" si="2"/>
        <v>91.666666666666671</v>
      </c>
      <c r="O8" s="22">
        <v>0</v>
      </c>
      <c r="P8" s="23" t="s">
        <v>21</v>
      </c>
      <c r="Q8" s="23" t="s">
        <v>21</v>
      </c>
      <c r="R8" s="19">
        <f t="shared" si="3"/>
        <v>91.666666666666671</v>
      </c>
      <c r="S8" s="25">
        <v>0</v>
      </c>
      <c r="T8" s="21" t="s">
        <v>21</v>
      </c>
      <c r="U8" s="23" t="s">
        <v>21</v>
      </c>
      <c r="V8" s="38">
        <f t="shared" si="4"/>
        <v>91.666666666666671</v>
      </c>
      <c r="W8" s="22">
        <v>15</v>
      </c>
      <c r="X8" s="5">
        <v>0</v>
      </c>
      <c r="Y8" s="24">
        <v>0</v>
      </c>
      <c r="Z8"/>
      <c r="AA8"/>
      <c r="AB8"/>
      <c r="AC8"/>
    </row>
    <row r="9" spans="1:29" x14ac:dyDescent="0.25">
      <c r="A9" s="179"/>
      <c r="B9" s="9" t="s">
        <v>22</v>
      </c>
      <c r="C9" s="3">
        <v>100</v>
      </c>
      <c r="D9" s="3">
        <v>100</v>
      </c>
      <c r="E9" s="3">
        <v>100</v>
      </c>
      <c r="F9" s="18">
        <f t="shared" si="0"/>
        <v>100</v>
      </c>
      <c r="G9" s="3">
        <v>20</v>
      </c>
      <c r="H9" s="3">
        <v>20</v>
      </c>
      <c r="I9" s="3">
        <v>20</v>
      </c>
      <c r="J9" s="18">
        <f t="shared" si="1"/>
        <v>100</v>
      </c>
      <c r="K9" s="21" t="s">
        <v>21</v>
      </c>
      <c r="L9" s="21" t="s">
        <v>21</v>
      </c>
      <c r="M9" s="21" t="s">
        <v>21</v>
      </c>
      <c r="N9" s="18">
        <f t="shared" si="2"/>
        <v>100</v>
      </c>
      <c r="O9" s="21" t="s">
        <v>21</v>
      </c>
      <c r="P9" s="21" t="s">
        <v>21</v>
      </c>
      <c r="Q9" s="21" t="s">
        <v>21</v>
      </c>
      <c r="R9" s="18">
        <f t="shared" si="3"/>
        <v>100</v>
      </c>
      <c r="S9" s="21" t="s">
        <v>21</v>
      </c>
      <c r="T9" s="21" t="s">
        <v>21</v>
      </c>
      <c r="U9" s="21" t="s">
        <v>21</v>
      </c>
      <c r="V9" s="42">
        <f t="shared" si="4"/>
        <v>100</v>
      </c>
      <c r="W9" s="35">
        <v>0</v>
      </c>
      <c r="X9" s="2">
        <v>0</v>
      </c>
      <c r="Y9" s="28">
        <v>0</v>
      </c>
      <c r="Z9"/>
      <c r="AA9"/>
      <c r="AB9"/>
      <c r="AC9"/>
    </row>
    <row r="10" spans="1:29" x14ac:dyDescent="0.25">
      <c r="A10" s="179"/>
      <c r="B10" s="9" t="s">
        <v>11</v>
      </c>
      <c r="C10" s="3">
        <v>95</v>
      </c>
      <c r="D10" s="3">
        <v>100</v>
      </c>
      <c r="E10" s="3">
        <v>100</v>
      </c>
      <c r="F10" s="18">
        <f t="shared" si="0"/>
        <v>98.333333333333329</v>
      </c>
      <c r="G10" s="3">
        <v>2</v>
      </c>
      <c r="H10" s="3">
        <v>12</v>
      </c>
      <c r="I10" s="3">
        <v>1</v>
      </c>
      <c r="J10" s="18">
        <f t="shared" si="1"/>
        <v>25</v>
      </c>
      <c r="K10" s="34">
        <v>13</v>
      </c>
      <c r="L10" s="3">
        <v>8</v>
      </c>
      <c r="M10" s="3">
        <v>11</v>
      </c>
      <c r="N10" s="18">
        <f t="shared" si="2"/>
        <v>78.333333333333343</v>
      </c>
      <c r="O10" s="34">
        <v>4</v>
      </c>
      <c r="P10" s="21" t="s">
        <v>21</v>
      </c>
      <c r="Q10" s="3">
        <v>6</v>
      </c>
      <c r="R10" s="18">
        <f t="shared" si="3"/>
        <v>95.000000000000014</v>
      </c>
      <c r="S10" s="34">
        <v>0</v>
      </c>
      <c r="T10" s="21" t="s">
        <v>21</v>
      </c>
      <c r="U10" s="3">
        <v>2</v>
      </c>
      <c r="V10" s="42">
        <f t="shared" si="4"/>
        <v>98.333333333333343</v>
      </c>
      <c r="W10" s="35">
        <v>0</v>
      </c>
      <c r="X10" s="2">
        <v>0</v>
      </c>
      <c r="Y10" s="28">
        <v>0</v>
      </c>
      <c r="Z10"/>
      <c r="AA10"/>
      <c r="AB10"/>
      <c r="AC10"/>
    </row>
    <row r="11" spans="1:29" x14ac:dyDescent="0.25">
      <c r="A11" s="180"/>
      <c r="B11" s="10" t="s">
        <v>8</v>
      </c>
      <c r="C11" s="2">
        <v>100</v>
      </c>
      <c r="D11" s="2">
        <v>100</v>
      </c>
      <c r="E11" s="2">
        <v>75</v>
      </c>
      <c r="F11" s="18">
        <f t="shared" si="0"/>
        <v>91.666666666666671</v>
      </c>
      <c r="G11" s="2">
        <v>9</v>
      </c>
      <c r="H11" s="2">
        <v>7</v>
      </c>
      <c r="I11" s="2">
        <v>15</v>
      </c>
      <c r="J11" s="18">
        <f t="shared" si="1"/>
        <v>51.666666666666664</v>
      </c>
      <c r="K11" s="35">
        <v>9</v>
      </c>
      <c r="L11" s="21">
        <v>12</v>
      </c>
      <c r="M11" s="2">
        <v>0</v>
      </c>
      <c r="N11" s="18">
        <f t="shared" si="2"/>
        <v>86.666666666666657</v>
      </c>
      <c r="O11" s="25">
        <v>2</v>
      </c>
      <c r="P11" s="21">
        <v>1</v>
      </c>
      <c r="Q11" s="21">
        <v>0</v>
      </c>
      <c r="R11" s="18">
        <f t="shared" si="3"/>
        <v>91.666666666666657</v>
      </c>
      <c r="S11" s="25">
        <v>0</v>
      </c>
      <c r="T11" s="21" t="s">
        <v>21</v>
      </c>
      <c r="U11" s="21">
        <v>0</v>
      </c>
      <c r="V11" s="42">
        <f t="shared" si="4"/>
        <v>91.666666666666657</v>
      </c>
      <c r="W11" s="35">
        <v>0</v>
      </c>
      <c r="X11" s="2">
        <v>0</v>
      </c>
      <c r="Y11" s="28">
        <v>0</v>
      </c>
      <c r="Z11"/>
      <c r="AA11"/>
      <c r="AB11"/>
      <c r="AC11"/>
    </row>
    <row r="12" spans="1:29" ht="15.75" thickBot="1" x14ac:dyDescent="0.3">
      <c r="A12" s="181"/>
      <c r="B12" s="11" t="s">
        <v>9</v>
      </c>
      <c r="C12" s="4">
        <v>100</v>
      </c>
      <c r="D12" s="4">
        <v>95</v>
      </c>
      <c r="E12" s="4">
        <v>100</v>
      </c>
      <c r="F12" s="20">
        <f t="shared" si="0"/>
        <v>98.333333333333329</v>
      </c>
      <c r="G12" s="4">
        <v>20</v>
      </c>
      <c r="H12" s="4">
        <v>19</v>
      </c>
      <c r="I12" s="4">
        <v>20</v>
      </c>
      <c r="J12" s="20">
        <f t="shared" si="1"/>
        <v>98.333333333333329</v>
      </c>
      <c r="K12" s="21" t="s">
        <v>21</v>
      </c>
      <c r="L12" s="21">
        <v>0</v>
      </c>
      <c r="M12" s="21" t="s">
        <v>21</v>
      </c>
      <c r="N12" s="20">
        <f t="shared" si="2"/>
        <v>98.333333333333329</v>
      </c>
      <c r="O12" s="29" t="s">
        <v>21</v>
      </c>
      <c r="P12" s="30">
        <v>0</v>
      </c>
      <c r="Q12" s="30" t="s">
        <v>21</v>
      </c>
      <c r="R12" s="20">
        <f t="shared" si="3"/>
        <v>98.333333333333329</v>
      </c>
      <c r="S12" s="29" t="s">
        <v>21</v>
      </c>
      <c r="T12" s="30">
        <v>0</v>
      </c>
      <c r="U12" s="30" t="s">
        <v>21</v>
      </c>
      <c r="V12" s="43">
        <f t="shared" si="4"/>
        <v>98.333333333333329</v>
      </c>
      <c r="W12" s="163">
        <v>0</v>
      </c>
      <c r="X12" s="4">
        <v>0</v>
      </c>
      <c r="Y12" s="164">
        <v>0</v>
      </c>
      <c r="Z12"/>
      <c r="AA12"/>
      <c r="AB12"/>
      <c r="AC12"/>
    </row>
    <row r="13" spans="1:29" x14ac:dyDescent="0.25">
      <c r="A13" s="178" t="s">
        <v>27</v>
      </c>
      <c r="B13" s="9" t="s">
        <v>10</v>
      </c>
      <c r="C13" s="5">
        <v>100</v>
      </c>
      <c r="D13" s="5">
        <v>100</v>
      </c>
      <c r="E13" s="5">
        <f>18*100/20</f>
        <v>90</v>
      </c>
      <c r="F13" s="19">
        <f t="shared" si="0"/>
        <v>96.666666666666671</v>
      </c>
      <c r="G13" s="5">
        <v>16</v>
      </c>
      <c r="H13" s="5">
        <v>13</v>
      </c>
      <c r="I13" s="5">
        <v>15</v>
      </c>
      <c r="J13" s="19">
        <f t="shared" si="1"/>
        <v>73.333333333333329</v>
      </c>
      <c r="K13" s="22">
        <v>4</v>
      </c>
      <c r="L13" s="23">
        <v>7</v>
      </c>
      <c r="M13" s="23">
        <v>1</v>
      </c>
      <c r="N13" s="19">
        <f t="shared" si="2"/>
        <v>93.333333333333329</v>
      </c>
      <c r="O13" s="21" t="s">
        <v>21</v>
      </c>
      <c r="P13" s="21" t="s">
        <v>21</v>
      </c>
      <c r="Q13" s="21">
        <v>2</v>
      </c>
      <c r="R13" s="19">
        <f t="shared" si="3"/>
        <v>96.666666666666657</v>
      </c>
      <c r="S13" s="21" t="s">
        <v>21</v>
      </c>
      <c r="T13" s="21" t="s">
        <v>21</v>
      </c>
      <c r="U13" s="21">
        <v>0</v>
      </c>
      <c r="V13" s="38">
        <f t="shared" si="4"/>
        <v>96.666666666666657</v>
      </c>
      <c r="W13" s="22">
        <v>0</v>
      </c>
      <c r="X13" s="5">
        <v>0</v>
      </c>
      <c r="Y13" s="24">
        <v>0</v>
      </c>
      <c r="Z13"/>
      <c r="AA13"/>
      <c r="AB13"/>
      <c r="AC13"/>
    </row>
    <row r="14" spans="1:29" x14ac:dyDescent="0.25">
      <c r="A14" s="179"/>
      <c r="B14" s="9" t="s">
        <v>22</v>
      </c>
      <c r="C14" s="3">
        <v>100</v>
      </c>
      <c r="D14" s="3">
        <v>100</v>
      </c>
      <c r="E14" s="3">
        <v>100</v>
      </c>
      <c r="F14" s="18">
        <f t="shared" si="0"/>
        <v>100</v>
      </c>
      <c r="G14" s="3">
        <v>20</v>
      </c>
      <c r="H14" s="3">
        <v>20</v>
      </c>
      <c r="I14" s="3">
        <v>20</v>
      </c>
      <c r="J14" s="18">
        <f t="shared" si="1"/>
        <v>100</v>
      </c>
      <c r="K14" s="21" t="s">
        <v>21</v>
      </c>
      <c r="L14" s="21" t="s">
        <v>21</v>
      </c>
      <c r="M14" s="21" t="s">
        <v>21</v>
      </c>
      <c r="N14" s="18">
        <f t="shared" si="2"/>
        <v>100</v>
      </c>
      <c r="O14" s="21" t="s">
        <v>21</v>
      </c>
      <c r="P14" s="21" t="s">
        <v>21</v>
      </c>
      <c r="Q14" s="21" t="s">
        <v>21</v>
      </c>
      <c r="R14" s="18">
        <f t="shared" si="3"/>
        <v>100</v>
      </c>
      <c r="S14" s="21" t="s">
        <v>21</v>
      </c>
      <c r="T14" s="21" t="s">
        <v>21</v>
      </c>
      <c r="U14" s="21" t="s">
        <v>21</v>
      </c>
      <c r="V14" s="42">
        <f t="shared" si="4"/>
        <v>100</v>
      </c>
      <c r="W14" s="35">
        <v>0</v>
      </c>
      <c r="X14" s="2">
        <v>0</v>
      </c>
      <c r="Y14" s="28">
        <v>0</v>
      </c>
      <c r="Z14"/>
      <c r="AA14"/>
      <c r="AB14"/>
      <c r="AC14"/>
    </row>
    <row r="15" spans="1:29" x14ac:dyDescent="0.25">
      <c r="A15" s="179"/>
      <c r="B15" s="9" t="s">
        <v>11</v>
      </c>
      <c r="C15" s="3">
        <v>100</v>
      </c>
      <c r="D15" s="3">
        <v>100</v>
      </c>
      <c r="E15" s="3">
        <v>100</v>
      </c>
      <c r="F15" s="18">
        <f t="shared" si="0"/>
        <v>100</v>
      </c>
      <c r="G15" s="3">
        <v>2</v>
      </c>
      <c r="H15" s="3">
        <v>8</v>
      </c>
      <c r="I15" s="3">
        <v>11</v>
      </c>
      <c r="J15" s="18">
        <f t="shared" si="1"/>
        <v>35</v>
      </c>
      <c r="K15" s="34">
        <v>10</v>
      </c>
      <c r="L15" s="3">
        <v>10</v>
      </c>
      <c r="M15" s="3">
        <v>5</v>
      </c>
      <c r="N15" s="18">
        <f t="shared" si="2"/>
        <v>76.666666666666657</v>
      </c>
      <c r="O15" s="3">
        <v>8</v>
      </c>
      <c r="P15" s="3">
        <v>2</v>
      </c>
      <c r="Q15" s="3">
        <v>4</v>
      </c>
      <c r="R15" s="18">
        <f t="shared" si="3"/>
        <v>99.999999999999986</v>
      </c>
      <c r="S15" s="21" t="s">
        <v>21</v>
      </c>
      <c r="T15" s="21" t="s">
        <v>21</v>
      </c>
      <c r="U15" s="21" t="s">
        <v>21</v>
      </c>
      <c r="V15" s="42">
        <f t="shared" si="4"/>
        <v>99.999999999999986</v>
      </c>
      <c r="W15" s="35">
        <v>0</v>
      </c>
      <c r="X15" s="2">
        <v>0</v>
      </c>
      <c r="Y15" s="28">
        <v>0</v>
      </c>
      <c r="Z15"/>
      <c r="AA15"/>
      <c r="AB15"/>
      <c r="AC15"/>
    </row>
    <row r="16" spans="1:29" x14ac:dyDescent="0.25">
      <c r="A16" s="180"/>
      <c r="B16" s="10" t="s">
        <v>8</v>
      </c>
      <c r="C16" s="2">
        <v>100</v>
      </c>
      <c r="D16" s="2">
        <v>100</v>
      </c>
      <c r="E16" s="2">
        <v>100</v>
      </c>
      <c r="F16" s="18">
        <f t="shared" si="0"/>
        <v>100</v>
      </c>
      <c r="G16" s="2">
        <v>10</v>
      </c>
      <c r="H16" s="2">
        <v>11</v>
      </c>
      <c r="I16" s="2">
        <v>20</v>
      </c>
      <c r="J16" s="18">
        <f t="shared" si="1"/>
        <v>68.333333333333329</v>
      </c>
      <c r="K16" s="35">
        <v>9</v>
      </c>
      <c r="L16" s="2">
        <v>9</v>
      </c>
      <c r="M16" s="21" t="s">
        <v>21</v>
      </c>
      <c r="N16" s="18">
        <f t="shared" si="2"/>
        <v>98.333333333333329</v>
      </c>
      <c r="O16" s="21">
        <v>1</v>
      </c>
      <c r="P16" s="44" t="s">
        <v>21</v>
      </c>
      <c r="Q16" s="21" t="s">
        <v>21</v>
      </c>
      <c r="R16" s="18">
        <f t="shared" si="3"/>
        <v>100</v>
      </c>
      <c r="S16" s="21" t="s">
        <v>21</v>
      </c>
      <c r="T16" s="21" t="s">
        <v>21</v>
      </c>
      <c r="U16" s="21" t="s">
        <v>21</v>
      </c>
      <c r="V16" s="42">
        <f t="shared" si="4"/>
        <v>100</v>
      </c>
      <c r="W16" s="35">
        <v>0</v>
      </c>
      <c r="X16" s="2">
        <v>0</v>
      </c>
      <c r="Y16" s="28">
        <v>0</v>
      </c>
      <c r="Z16"/>
      <c r="AA16"/>
      <c r="AB16"/>
      <c r="AC16"/>
    </row>
    <row r="17" spans="1:29" ht="15.75" thickBot="1" x14ac:dyDescent="0.3">
      <c r="A17" s="181"/>
      <c r="B17" s="11" t="s">
        <v>9</v>
      </c>
      <c r="C17" s="4">
        <v>100</v>
      </c>
      <c r="D17" s="4">
        <v>95</v>
      </c>
      <c r="E17" s="4">
        <v>100</v>
      </c>
      <c r="F17" s="20">
        <f t="shared" si="0"/>
        <v>98.333333333333329</v>
      </c>
      <c r="G17" s="4">
        <v>20</v>
      </c>
      <c r="H17" s="4">
        <v>16</v>
      </c>
      <c r="I17" s="4">
        <v>20</v>
      </c>
      <c r="J17" s="20">
        <f t="shared" si="1"/>
        <v>93.333333333333329</v>
      </c>
      <c r="K17" s="21" t="s">
        <v>21</v>
      </c>
      <c r="L17" s="21">
        <v>2</v>
      </c>
      <c r="M17" s="21" t="s">
        <v>21</v>
      </c>
      <c r="N17" s="20">
        <f t="shared" si="2"/>
        <v>96.666666666666657</v>
      </c>
      <c r="O17" s="21" t="s">
        <v>21</v>
      </c>
      <c r="P17" s="21">
        <v>0</v>
      </c>
      <c r="Q17" s="21" t="s">
        <v>21</v>
      </c>
      <c r="R17" s="20">
        <f t="shared" si="3"/>
        <v>96.666666666666657</v>
      </c>
      <c r="S17" s="32" t="s">
        <v>21</v>
      </c>
      <c r="T17" s="32">
        <v>1</v>
      </c>
      <c r="U17" s="32" t="s">
        <v>21</v>
      </c>
      <c r="V17" s="43">
        <f t="shared" si="4"/>
        <v>98.333333333333329</v>
      </c>
      <c r="W17" s="163">
        <v>0</v>
      </c>
      <c r="X17" s="4">
        <v>0</v>
      </c>
      <c r="Y17" s="164">
        <v>0</v>
      </c>
      <c r="Z17"/>
      <c r="AA17"/>
      <c r="AB17"/>
      <c r="AC17"/>
    </row>
    <row r="18" spans="1:29" x14ac:dyDescent="0.25">
      <c r="A18" s="178" t="s">
        <v>28</v>
      </c>
      <c r="B18" s="9" t="s">
        <v>10</v>
      </c>
      <c r="C18" s="5">
        <v>95</v>
      </c>
      <c r="D18" s="5">
        <v>95</v>
      </c>
      <c r="E18" s="5">
        <v>75</v>
      </c>
      <c r="F18" s="19">
        <f t="shared" si="0"/>
        <v>88.333333333333329</v>
      </c>
      <c r="G18" s="5">
        <v>19</v>
      </c>
      <c r="H18" s="5">
        <v>12</v>
      </c>
      <c r="I18" s="5">
        <v>9</v>
      </c>
      <c r="J18" s="19">
        <f t="shared" si="1"/>
        <v>66.666666666666671</v>
      </c>
      <c r="K18" s="5">
        <v>0</v>
      </c>
      <c r="L18" s="5">
        <v>6</v>
      </c>
      <c r="M18" s="5">
        <v>5</v>
      </c>
      <c r="N18" s="19">
        <f t="shared" si="2"/>
        <v>85</v>
      </c>
      <c r="O18" s="5">
        <v>0</v>
      </c>
      <c r="P18" s="5">
        <v>1</v>
      </c>
      <c r="Q18" s="5">
        <v>1</v>
      </c>
      <c r="R18" s="19">
        <f t="shared" si="3"/>
        <v>88.333333333333329</v>
      </c>
      <c r="S18" s="22">
        <v>0</v>
      </c>
      <c r="T18" s="5">
        <v>0</v>
      </c>
      <c r="U18" s="23">
        <v>0</v>
      </c>
      <c r="V18" s="38">
        <f t="shared" si="4"/>
        <v>88.333333333333329</v>
      </c>
      <c r="W18" s="22">
        <v>3</v>
      </c>
      <c r="X18" s="5">
        <v>3</v>
      </c>
      <c r="Y18" s="24">
        <v>0</v>
      </c>
      <c r="Z18"/>
      <c r="AA18"/>
      <c r="AB18"/>
      <c r="AC18"/>
    </row>
    <row r="19" spans="1:29" x14ac:dyDescent="0.25">
      <c r="A19" s="179"/>
      <c r="B19" s="9" t="s">
        <v>22</v>
      </c>
      <c r="C19" s="3">
        <v>100</v>
      </c>
      <c r="D19" s="3">
        <v>100</v>
      </c>
      <c r="E19" s="3">
        <v>100</v>
      </c>
      <c r="F19" s="18">
        <f t="shared" si="0"/>
        <v>100</v>
      </c>
      <c r="G19" s="3">
        <v>20</v>
      </c>
      <c r="H19" s="3">
        <v>20</v>
      </c>
      <c r="I19" s="3">
        <v>20</v>
      </c>
      <c r="J19" s="18">
        <f t="shared" si="1"/>
        <v>100</v>
      </c>
      <c r="K19" s="21" t="s">
        <v>21</v>
      </c>
      <c r="L19" s="21" t="s">
        <v>21</v>
      </c>
      <c r="M19" s="21" t="s">
        <v>21</v>
      </c>
      <c r="N19" s="18">
        <f t="shared" si="2"/>
        <v>100</v>
      </c>
      <c r="O19" s="21" t="s">
        <v>21</v>
      </c>
      <c r="P19" s="21" t="s">
        <v>21</v>
      </c>
      <c r="Q19" s="21" t="s">
        <v>21</v>
      </c>
      <c r="R19" s="18">
        <f t="shared" si="3"/>
        <v>100</v>
      </c>
      <c r="S19" s="25" t="s">
        <v>21</v>
      </c>
      <c r="T19" s="21" t="s">
        <v>21</v>
      </c>
      <c r="U19" s="21" t="s">
        <v>21</v>
      </c>
      <c r="V19" s="42">
        <f t="shared" si="4"/>
        <v>100</v>
      </c>
      <c r="W19" s="35">
        <v>0</v>
      </c>
      <c r="X19" s="2">
        <v>0</v>
      </c>
      <c r="Y19" s="28">
        <v>0</v>
      </c>
      <c r="Z19"/>
      <c r="AA19"/>
      <c r="AB19"/>
      <c r="AC19"/>
    </row>
    <row r="20" spans="1:29" x14ac:dyDescent="0.25">
      <c r="A20" s="179"/>
      <c r="B20" s="9" t="s">
        <v>11</v>
      </c>
      <c r="C20" s="3">
        <v>100</v>
      </c>
      <c r="D20" s="3">
        <v>100</v>
      </c>
      <c r="E20" s="3">
        <v>80</v>
      </c>
      <c r="F20" s="18">
        <f t="shared" si="0"/>
        <v>93.333333333333329</v>
      </c>
      <c r="G20" s="3">
        <v>4</v>
      </c>
      <c r="H20" s="3">
        <v>16</v>
      </c>
      <c r="I20" s="3">
        <v>0</v>
      </c>
      <c r="J20" s="18">
        <f t="shared" si="1"/>
        <v>33.333333333333336</v>
      </c>
      <c r="K20" s="3">
        <v>10</v>
      </c>
      <c r="L20" s="3">
        <v>4</v>
      </c>
      <c r="M20" s="3">
        <v>12</v>
      </c>
      <c r="N20" s="18">
        <f t="shared" si="2"/>
        <v>76.666666666666671</v>
      </c>
      <c r="O20" s="3">
        <v>6</v>
      </c>
      <c r="P20" s="21" t="s">
        <v>21</v>
      </c>
      <c r="Q20" s="3">
        <v>2</v>
      </c>
      <c r="R20" s="18">
        <f t="shared" si="3"/>
        <v>90</v>
      </c>
      <c r="S20" s="25" t="s">
        <v>21</v>
      </c>
      <c r="T20" s="21" t="s">
        <v>21</v>
      </c>
      <c r="U20" s="3">
        <v>2</v>
      </c>
      <c r="V20" s="42">
        <f t="shared" si="4"/>
        <v>93.333333333333329</v>
      </c>
      <c r="W20" s="35">
        <v>0</v>
      </c>
      <c r="X20" s="2">
        <v>0</v>
      </c>
      <c r="Y20" s="28">
        <v>0</v>
      </c>
      <c r="Z20"/>
      <c r="AA20"/>
      <c r="AB20"/>
      <c r="AC20"/>
    </row>
    <row r="21" spans="1:29" x14ac:dyDescent="0.25">
      <c r="A21" s="180"/>
      <c r="B21" s="10" t="s">
        <v>8</v>
      </c>
      <c r="C21" s="2">
        <v>100</v>
      </c>
      <c r="D21" s="2">
        <v>100</v>
      </c>
      <c r="E21" s="2">
        <v>100</v>
      </c>
      <c r="F21" s="18">
        <f t="shared" si="0"/>
        <v>100</v>
      </c>
      <c r="G21" s="2">
        <v>11</v>
      </c>
      <c r="H21" s="2">
        <v>20</v>
      </c>
      <c r="I21" s="2">
        <v>20</v>
      </c>
      <c r="J21" s="18">
        <f t="shared" si="1"/>
        <v>85</v>
      </c>
      <c r="K21" s="2">
        <v>6</v>
      </c>
      <c r="L21" s="21" t="s">
        <v>21</v>
      </c>
      <c r="M21" s="44" t="s">
        <v>21</v>
      </c>
      <c r="N21" s="18">
        <f t="shared" si="2"/>
        <v>95</v>
      </c>
      <c r="O21" s="2">
        <v>3</v>
      </c>
      <c r="P21" s="21" t="s">
        <v>21</v>
      </c>
      <c r="Q21" s="44" t="s">
        <v>21</v>
      </c>
      <c r="R21" s="18">
        <f t="shared" si="3"/>
        <v>100</v>
      </c>
      <c r="S21" s="45" t="s">
        <v>21</v>
      </c>
      <c r="T21" s="21" t="s">
        <v>21</v>
      </c>
      <c r="U21" s="21" t="s">
        <v>21</v>
      </c>
      <c r="V21" s="42">
        <f t="shared" si="4"/>
        <v>100</v>
      </c>
      <c r="W21" s="35">
        <v>0</v>
      </c>
      <c r="X21" s="2">
        <v>0</v>
      </c>
      <c r="Y21" s="28">
        <v>0</v>
      </c>
      <c r="Z21"/>
      <c r="AA21"/>
      <c r="AB21"/>
      <c r="AC21"/>
    </row>
    <row r="22" spans="1:29" ht="15.75" thickBot="1" x14ac:dyDescent="0.3">
      <c r="A22" s="181"/>
      <c r="B22" s="11" t="s">
        <v>9</v>
      </c>
      <c r="C22" s="4">
        <v>100</v>
      </c>
      <c r="D22" s="4">
        <v>100</v>
      </c>
      <c r="E22" s="4">
        <v>100</v>
      </c>
      <c r="F22" s="20">
        <f t="shared" si="0"/>
        <v>100</v>
      </c>
      <c r="G22" s="4">
        <v>20</v>
      </c>
      <c r="H22" s="4">
        <v>20</v>
      </c>
      <c r="I22" s="4">
        <v>20</v>
      </c>
      <c r="J22" s="20">
        <f t="shared" si="1"/>
        <v>100</v>
      </c>
      <c r="K22" s="21" t="s">
        <v>21</v>
      </c>
      <c r="L22" s="21" t="s">
        <v>21</v>
      </c>
      <c r="M22" s="21" t="s">
        <v>21</v>
      </c>
      <c r="N22" s="20">
        <f t="shared" si="2"/>
        <v>100</v>
      </c>
      <c r="O22" s="21" t="s">
        <v>21</v>
      </c>
      <c r="P22" s="21" t="s">
        <v>21</v>
      </c>
      <c r="Q22" s="21" t="s">
        <v>21</v>
      </c>
      <c r="R22" s="20">
        <f t="shared" si="3"/>
        <v>100</v>
      </c>
      <c r="S22" s="29" t="s">
        <v>21</v>
      </c>
      <c r="T22" s="30" t="s">
        <v>21</v>
      </c>
      <c r="U22" s="30" t="s">
        <v>21</v>
      </c>
      <c r="V22" s="43">
        <f t="shared" si="4"/>
        <v>100</v>
      </c>
      <c r="W22" s="163">
        <v>0</v>
      </c>
      <c r="X22" s="4">
        <v>0</v>
      </c>
      <c r="Y22" s="164">
        <v>0</v>
      </c>
      <c r="Z22"/>
      <c r="AA22"/>
      <c r="AB22"/>
      <c r="AC22"/>
    </row>
    <row r="23" spans="1:29" x14ac:dyDescent="0.25">
      <c r="A23" s="178" t="s">
        <v>29</v>
      </c>
      <c r="B23" s="47" t="s">
        <v>10</v>
      </c>
      <c r="C23" s="5">
        <v>55</v>
      </c>
      <c r="D23" s="5">
        <v>40</v>
      </c>
      <c r="E23" s="5">
        <v>50</v>
      </c>
      <c r="F23" s="19">
        <f t="shared" si="0"/>
        <v>48.333333333333336</v>
      </c>
      <c r="G23" s="5">
        <v>7</v>
      </c>
      <c r="H23" s="5">
        <v>3</v>
      </c>
      <c r="I23" s="5">
        <v>5</v>
      </c>
      <c r="J23" s="19">
        <f t="shared" si="1"/>
        <v>25</v>
      </c>
      <c r="K23" s="5">
        <v>4</v>
      </c>
      <c r="L23" s="5">
        <v>5</v>
      </c>
      <c r="M23" s="5">
        <v>2</v>
      </c>
      <c r="N23" s="19">
        <f t="shared" si="2"/>
        <v>43.333333333333329</v>
      </c>
      <c r="O23" s="5">
        <v>0</v>
      </c>
      <c r="P23" s="5">
        <v>0</v>
      </c>
      <c r="Q23" s="5">
        <v>3</v>
      </c>
      <c r="R23" s="19">
        <f t="shared" si="3"/>
        <v>48.333333333333329</v>
      </c>
      <c r="S23" s="5">
        <v>0</v>
      </c>
      <c r="T23" s="5">
        <v>0</v>
      </c>
      <c r="U23" s="5">
        <v>0</v>
      </c>
      <c r="V23" s="38">
        <f t="shared" si="4"/>
        <v>48.333333333333329</v>
      </c>
      <c r="W23" s="22">
        <v>12</v>
      </c>
      <c r="X23" s="5">
        <v>15</v>
      </c>
      <c r="Y23" s="24">
        <v>15</v>
      </c>
      <c r="Z23"/>
      <c r="AA23"/>
      <c r="AB23"/>
      <c r="AC23"/>
    </row>
    <row r="24" spans="1:29" x14ac:dyDescent="0.25">
      <c r="A24" s="179"/>
      <c r="B24" s="9" t="s">
        <v>22</v>
      </c>
      <c r="C24" s="3">
        <v>95</v>
      </c>
      <c r="D24" s="3">
        <v>100</v>
      </c>
      <c r="E24" s="3">
        <v>95</v>
      </c>
      <c r="F24" s="18">
        <f t="shared" ref="F24:F25" si="5">SUM(C24:E24)/3</f>
        <v>96.666666666666671</v>
      </c>
      <c r="G24" s="3">
        <v>19</v>
      </c>
      <c r="H24" s="3">
        <v>20</v>
      </c>
      <c r="I24" s="3">
        <v>15</v>
      </c>
      <c r="J24" s="18">
        <f t="shared" ref="J24:J25" si="6">100*SUM(G24:I24)/60</f>
        <v>90</v>
      </c>
      <c r="K24" s="3">
        <v>0</v>
      </c>
      <c r="L24" s="21" t="s">
        <v>21</v>
      </c>
      <c r="M24" s="3">
        <v>3</v>
      </c>
      <c r="N24" s="18">
        <f t="shared" ref="N24:N25" si="7">J24+100*SUM(K24:M24)/60</f>
        <v>95</v>
      </c>
      <c r="O24" s="3">
        <v>0</v>
      </c>
      <c r="P24" s="21" t="s">
        <v>21</v>
      </c>
      <c r="Q24" s="3">
        <v>1</v>
      </c>
      <c r="R24" s="18">
        <f t="shared" ref="R24:R25" si="8">N24+100*SUM(O24:Q24)/60</f>
        <v>96.666666666666671</v>
      </c>
      <c r="S24" s="3">
        <v>0</v>
      </c>
      <c r="T24" s="21" t="s">
        <v>21</v>
      </c>
      <c r="U24" s="3">
        <v>0</v>
      </c>
      <c r="V24" s="42">
        <f t="shared" ref="V24:V25" si="9">R24+100*SUM(S24:U24)/60</f>
        <v>96.666666666666671</v>
      </c>
      <c r="W24" s="35">
        <v>3</v>
      </c>
      <c r="X24" s="2">
        <v>0</v>
      </c>
      <c r="Y24" s="28">
        <v>0</v>
      </c>
      <c r="Z24"/>
      <c r="AA24"/>
      <c r="AB24"/>
      <c r="AC24"/>
    </row>
    <row r="25" spans="1:29" x14ac:dyDescent="0.25">
      <c r="A25" s="179"/>
      <c r="B25" s="9" t="s">
        <v>11</v>
      </c>
      <c r="C25" s="3">
        <v>100</v>
      </c>
      <c r="D25" s="3">
        <v>80</v>
      </c>
      <c r="E25" s="3">
        <v>85</v>
      </c>
      <c r="F25" s="18">
        <f t="shared" si="5"/>
        <v>88.333333333333329</v>
      </c>
      <c r="G25" s="3">
        <v>3</v>
      </c>
      <c r="H25" s="3">
        <v>16</v>
      </c>
      <c r="I25" s="3">
        <v>5</v>
      </c>
      <c r="J25" s="18">
        <f t="shared" si="6"/>
        <v>40</v>
      </c>
      <c r="K25" s="3">
        <v>12</v>
      </c>
      <c r="L25" s="21">
        <v>0</v>
      </c>
      <c r="M25" s="3">
        <v>10</v>
      </c>
      <c r="N25" s="18">
        <f t="shared" si="7"/>
        <v>76.666666666666657</v>
      </c>
      <c r="O25" s="3">
        <v>5</v>
      </c>
      <c r="P25" s="21">
        <v>0</v>
      </c>
      <c r="Q25" s="3">
        <v>1</v>
      </c>
      <c r="R25" s="18">
        <f t="shared" si="8"/>
        <v>86.666666666666657</v>
      </c>
      <c r="S25" s="21" t="s">
        <v>21</v>
      </c>
      <c r="T25" s="21">
        <v>0</v>
      </c>
      <c r="U25" s="3">
        <v>1</v>
      </c>
      <c r="V25" s="42">
        <f t="shared" si="9"/>
        <v>88.333333333333329</v>
      </c>
      <c r="W25" s="35">
        <v>0</v>
      </c>
      <c r="X25" s="2">
        <v>0</v>
      </c>
      <c r="Y25" s="28">
        <v>0</v>
      </c>
      <c r="Z25"/>
      <c r="AA25"/>
      <c r="AB25"/>
      <c r="AC25"/>
    </row>
    <row r="26" spans="1:29" x14ac:dyDescent="0.25">
      <c r="A26" s="180"/>
      <c r="B26" s="10" t="s">
        <v>8</v>
      </c>
      <c r="C26" s="2">
        <v>100</v>
      </c>
      <c r="D26" s="2">
        <v>100</v>
      </c>
      <c r="E26" s="2">
        <v>100</v>
      </c>
      <c r="F26" s="18">
        <f t="shared" si="0"/>
        <v>100</v>
      </c>
      <c r="G26" s="2">
        <v>13</v>
      </c>
      <c r="H26" s="2">
        <v>15</v>
      </c>
      <c r="I26" s="2">
        <v>18</v>
      </c>
      <c r="J26" s="18">
        <f t="shared" si="1"/>
        <v>76.666666666666671</v>
      </c>
      <c r="K26" s="2">
        <v>5</v>
      </c>
      <c r="L26" s="2">
        <v>5</v>
      </c>
      <c r="M26" s="2">
        <v>2</v>
      </c>
      <c r="N26" s="18">
        <f t="shared" si="2"/>
        <v>96.666666666666671</v>
      </c>
      <c r="O26" s="2">
        <v>2</v>
      </c>
      <c r="P26" s="44" t="s">
        <v>21</v>
      </c>
      <c r="Q26" s="44" t="s">
        <v>21</v>
      </c>
      <c r="R26" s="18">
        <f t="shared" si="3"/>
        <v>100</v>
      </c>
      <c r="S26" s="44" t="s">
        <v>21</v>
      </c>
      <c r="T26" s="44" t="s">
        <v>21</v>
      </c>
      <c r="U26" s="21" t="s">
        <v>21</v>
      </c>
      <c r="V26" s="42">
        <f t="shared" si="4"/>
        <v>100</v>
      </c>
      <c r="W26" s="35">
        <v>0</v>
      </c>
      <c r="X26" s="2">
        <v>0</v>
      </c>
      <c r="Y26" s="28">
        <v>0</v>
      </c>
      <c r="Z26"/>
      <c r="AA26"/>
      <c r="AB26"/>
      <c r="AC26"/>
    </row>
    <row r="27" spans="1:29" ht="15.75" thickBot="1" x14ac:dyDescent="0.3">
      <c r="A27" s="181"/>
      <c r="B27" s="11" t="s">
        <v>9</v>
      </c>
      <c r="C27" s="37">
        <v>100</v>
      </c>
      <c r="D27" s="37">
        <v>100</v>
      </c>
      <c r="E27" s="37">
        <v>100</v>
      </c>
      <c r="F27" s="54">
        <f t="shared" si="0"/>
        <v>100</v>
      </c>
      <c r="G27" s="37">
        <v>20</v>
      </c>
      <c r="H27" s="37">
        <v>20</v>
      </c>
      <c r="I27" s="37">
        <v>20</v>
      </c>
      <c r="J27" s="54">
        <f t="shared" si="1"/>
        <v>100</v>
      </c>
      <c r="K27" s="32" t="s">
        <v>21</v>
      </c>
      <c r="L27" s="32" t="s">
        <v>21</v>
      </c>
      <c r="M27" s="93" t="s">
        <v>21</v>
      </c>
      <c r="N27" s="54">
        <f t="shared" si="2"/>
        <v>100</v>
      </c>
      <c r="O27" s="32" t="s">
        <v>21</v>
      </c>
      <c r="P27" s="32" t="s">
        <v>21</v>
      </c>
      <c r="Q27" s="93" t="s">
        <v>21</v>
      </c>
      <c r="R27" s="54">
        <f t="shared" si="3"/>
        <v>100</v>
      </c>
      <c r="S27" s="32" t="s">
        <v>21</v>
      </c>
      <c r="T27" s="32" t="s">
        <v>21</v>
      </c>
      <c r="U27" s="93" t="s">
        <v>21</v>
      </c>
      <c r="V27" s="162">
        <f t="shared" si="4"/>
        <v>100</v>
      </c>
      <c r="W27" s="163">
        <v>0</v>
      </c>
      <c r="X27" s="4">
        <v>0</v>
      </c>
      <c r="Y27" s="164">
        <v>0</v>
      </c>
      <c r="Z27"/>
      <c r="AA27"/>
      <c r="AB27"/>
      <c r="AC27"/>
    </row>
    <row r="28" spans="1:29" x14ac:dyDescent="0.25">
      <c r="A28" s="171" t="s">
        <v>40</v>
      </c>
      <c r="B28" s="89" t="s">
        <v>10</v>
      </c>
      <c r="C28" s="79">
        <f>(C3+C8+C13+C18+C23)/5</f>
        <v>85</v>
      </c>
      <c r="D28" s="69">
        <f t="shared" ref="D28:E28" si="10">(D3+D8+D13+D18+D23)/5</f>
        <v>86</v>
      </c>
      <c r="E28" s="70">
        <f t="shared" si="10"/>
        <v>83</v>
      </c>
      <c r="F28" s="19">
        <f>ROUNDUP(SUM(C28:E28)/3,1)</f>
        <v>84.699999999999989</v>
      </c>
      <c r="G28" s="79">
        <f>(G3+G8+G13+G18+G23)</f>
        <v>63</v>
      </c>
      <c r="H28" s="69">
        <f t="shared" ref="H28:I28" si="11">(H3+H8+H13+H18+H23)</f>
        <v>49</v>
      </c>
      <c r="I28" s="70">
        <f t="shared" si="11"/>
        <v>68</v>
      </c>
      <c r="J28" s="38">
        <f>ROUNDUP(SUM(G28:I28)/3,1)</f>
        <v>60</v>
      </c>
      <c r="K28" s="94">
        <f>(G3+IF(K3="--",0,K3)+G8+IF(K8="--",0,K8)+G13+IF(K13="--",0,K13)+G18+IF(K18="--",0,K18)+G23+IF(K23="--",0,K23))</f>
        <v>85</v>
      </c>
      <c r="L28" s="95">
        <f t="shared" ref="L28:M32" si="12">(H3+IF(L3="--",0,L3)+H8+IF(L8="--",0,L8)+H13+IF(L13="--",0,L13)+H18+IF(L18="--",0,L18)+H23+IF(L23="--",0,L23))</f>
        <v>85</v>
      </c>
      <c r="M28" s="96">
        <f t="shared" si="12"/>
        <v>77</v>
      </c>
      <c r="N28" s="38">
        <f>ROUNDUP(SUM(K28:M28)/3,1)</f>
        <v>82.399999999999991</v>
      </c>
      <c r="O28" s="94">
        <f>(G3+IF(K3="--",0,K3)+IF(O3="--",0,O3)+G8+IF(K8="--",0,K8)+IF(O8="--",0,O8)+G13+IF(K13="--",0,K13)+IF(O13="--",0,O13)+G18+IF(K18="--",0,K18)+IF(O18="--",0,O18)+G23+IF(K23="--",0,K23)+IF(O23="--",0,O23))</f>
        <v>85</v>
      </c>
      <c r="P28" s="95">
        <f t="shared" ref="P28:Q32" si="13">(H3+IF(L3="--",0,L3)+IF(P3="--",0,P3)+H8+IF(L8="--",0,L8)+IF(P8="--",0,P8)+H13+IF(L13="--",0,L13)+IF(P13="--",0,P13)+H18+IF(L18="--",0,L18)+IF(P18="--",0,P18)+H23+IF(L23="--",0,L23)+IF(P23="--",0,P23))</f>
        <v>86</v>
      </c>
      <c r="Q28" s="96">
        <f t="shared" si="13"/>
        <v>83</v>
      </c>
      <c r="R28" s="19">
        <f>ROUNDUP(SUM(O28:Q28)/3,1)</f>
        <v>84.699999999999989</v>
      </c>
      <c r="S28" s="94">
        <f>(G3+IF(K3="--",0,K3)+IF(O3="--",0,O3)+IF(S3="--",0,S3)+G8+IF(K8="--",0,K8)+IF(O8="--",0,O8)+IF(S8="--",0,S8)+G13+IF(K13="--",0,K13)+IF(O13="--",0,O13)+IF(S13="--",0,S13)+G18+IF(K18="--",0,K18)+IF(O18="--",0,O18)+IF(S18="--",0,S18)+G23+IF(K23="--",0,K23)+IF(O23="--",0,O23)+IF(S23="--",0,S23))</f>
        <v>85</v>
      </c>
      <c r="T28" s="95">
        <f t="shared" ref="T28:U32" si="14">(H3+IF(L3="--",0,L3)+IF(P3="--",0,P3)+IF(T3="--",0,T3)+H8+IF(L8="--",0,L8)+IF(P8="--",0,P8)+IF(T8="--",0,T8)+H13+IF(L13="--",0,L13)+IF(P13="--",0,P13)+IF(T13="--",0,T13)+H18+IF(L18="--",0,L18)+IF(P18="--",0,P18)+IF(T18="--",0,T18)+H23+IF(L23="--",0,L23)+IF(P23="--",0,P23)+IF(T23="--",0,T23))</f>
        <v>86</v>
      </c>
      <c r="U28" s="96">
        <f t="shared" si="14"/>
        <v>83</v>
      </c>
      <c r="V28" s="19">
        <f>ROUNDUP(SUM(S28:U28)/3,1)</f>
        <v>84.699999999999989</v>
      </c>
      <c r="Z28"/>
      <c r="AA28"/>
      <c r="AB28"/>
      <c r="AC28"/>
    </row>
    <row r="29" spans="1:29" x14ac:dyDescent="0.25">
      <c r="A29" s="172"/>
      <c r="B29" s="90" t="s">
        <v>22</v>
      </c>
      <c r="C29" s="81">
        <f t="shared" ref="C29:E32" si="15">(C4+C9+C14+C19+C24)/5</f>
        <v>99</v>
      </c>
      <c r="D29" s="72">
        <f t="shared" si="15"/>
        <v>100</v>
      </c>
      <c r="E29" s="73">
        <f t="shared" si="15"/>
        <v>99</v>
      </c>
      <c r="F29" s="55">
        <f t="shared" ref="F29:F32" si="16">ROUNDUP(SUM(C29:E29)/3,1)</f>
        <v>99.399999999999991</v>
      </c>
      <c r="G29" s="81">
        <f t="shared" ref="G29:I32" si="17">(G4+G9+G14+G19+G24)</f>
        <v>99</v>
      </c>
      <c r="H29" s="72">
        <f t="shared" si="17"/>
        <v>100</v>
      </c>
      <c r="I29" s="73">
        <f t="shared" si="17"/>
        <v>95</v>
      </c>
      <c r="J29" s="77">
        <f t="shared" ref="J29:J32" si="18">ROUNDUP(SUM(G29:I29)/3,1)</f>
        <v>98</v>
      </c>
      <c r="K29" s="97">
        <f t="shared" ref="K29:K32" si="19">(G4+IF(K4="--",0,K4)+G9+IF(K9="--",0,K9)+G14+IF(K14="--",0,K14)+G19+IF(K19="--",0,K19)+G24+IF(K24="--",0,K24))</f>
        <v>99</v>
      </c>
      <c r="L29" s="98">
        <f t="shared" si="12"/>
        <v>100</v>
      </c>
      <c r="M29" s="99">
        <f t="shared" si="12"/>
        <v>98</v>
      </c>
      <c r="N29" s="77">
        <f t="shared" ref="N29:N32" si="20">ROUNDUP(SUM(K29:M29)/3,1)</f>
        <v>99</v>
      </c>
      <c r="O29" s="97">
        <f t="shared" ref="O29:O32" si="21">(G4+IF(K4="--",0,K4)+IF(O4="--",0,O4)+G9+IF(K9="--",0,K9)+IF(O9="--",0,O9)+G14+IF(K14="--",0,K14)+IF(O14="--",0,O14)+G19+IF(K19="--",0,K19)+IF(O19="--",0,O19)+G24+IF(K24="--",0,K24)+IF(O24="--",0,O24))</f>
        <v>99</v>
      </c>
      <c r="P29" s="98">
        <f t="shared" si="13"/>
        <v>100</v>
      </c>
      <c r="Q29" s="99">
        <f t="shared" si="13"/>
        <v>99</v>
      </c>
      <c r="R29" s="55">
        <f t="shared" ref="R29:R32" si="22">ROUNDUP(SUM(O29:Q29)/3,1)</f>
        <v>99.399999999999991</v>
      </c>
      <c r="S29" s="97">
        <f t="shared" ref="S29:S32" si="23">(G4+IF(K4="--",0,K4)+IF(O4="--",0,O4)+IF(S4="--",0,S4)+G9+IF(K9="--",0,K9)+IF(O9="--",0,O9)+IF(S9="--",0,S9)+G14+IF(K14="--",0,K14)+IF(O14="--",0,O14)+IF(S14="--",0,S14)+G19+IF(K19="--",0,K19)+IF(O19="--",0,O19)+IF(S19="--",0,S19)+G24+IF(K24="--",0,K24)+IF(O24="--",0,O24)+IF(S24="--",0,S24))</f>
        <v>99</v>
      </c>
      <c r="T29" s="98">
        <f t="shared" si="14"/>
        <v>100</v>
      </c>
      <c r="U29" s="99">
        <f t="shared" si="14"/>
        <v>99</v>
      </c>
      <c r="V29" s="55">
        <f t="shared" ref="V29:V32" si="24">ROUNDUP(SUM(S29:U29)/3,1)</f>
        <v>99.399999999999991</v>
      </c>
      <c r="X29" s="168" t="s">
        <v>46</v>
      </c>
      <c r="Z29"/>
      <c r="AA29"/>
      <c r="AB29">
        <f>SUM(W3:Y27)</f>
        <v>69</v>
      </c>
      <c r="AC29"/>
    </row>
    <row r="30" spans="1:29" x14ac:dyDescent="0.25">
      <c r="A30" s="172"/>
      <c r="B30" s="90" t="s">
        <v>11</v>
      </c>
      <c r="C30" s="81">
        <f t="shared" si="15"/>
        <v>99</v>
      </c>
      <c r="D30" s="72">
        <f t="shared" si="15"/>
        <v>94</v>
      </c>
      <c r="E30" s="73">
        <f t="shared" si="15"/>
        <v>93</v>
      </c>
      <c r="F30" s="55">
        <f t="shared" si="16"/>
        <v>95.399999999999991</v>
      </c>
      <c r="G30" s="81">
        <f t="shared" si="17"/>
        <v>17</v>
      </c>
      <c r="H30" s="72">
        <f t="shared" si="17"/>
        <v>64</v>
      </c>
      <c r="I30" s="73">
        <f t="shared" si="17"/>
        <v>22</v>
      </c>
      <c r="J30" s="77">
        <f t="shared" si="18"/>
        <v>34.4</v>
      </c>
      <c r="K30" s="97">
        <f t="shared" si="19"/>
        <v>72</v>
      </c>
      <c r="L30" s="98">
        <f t="shared" si="12"/>
        <v>90</v>
      </c>
      <c r="M30" s="99">
        <f t="shared" si="12"/>
        <v>67</v>
      </c>
      <c r="N30" s="77">
        <f t="shared" si="20"/>
        <v>76.399999999999991</v>
      </c>
      <c r="O30" s="97">
        <f t="shared" si="21"/>
        <v>99</v>
      </c>
      <c r="P30" s="98">
        <f t="shared" si="13"/>
        <v>94</v>
      </c>
      <c r="Q30" s="99">
        <f t="shared" si="13"/>
        <v>86</v>
      </c>
      <c r="R30" s="55">
        <f t="shared" si="22"/>
        <v>93</v>
      </c>
      <c r="S30" s="97">
        <f t="shared" si="23"/>
        <v>99</v>
      </c>
      <c r="T30" s="98">
        <f t="shared" si="14"/>
        <v>94</v>
      </c>
      <c r="U30" s="99">
        <f t="shared" si="14"/>
        <v>93</v>
      </c>
      <c r="V30" s="55">
        <f t="shared" si="24"/>
        <v>95.399999999999991</v>
      </c>
      <c r="X30" s="168" t="s">
        <v>47</v>
      </c>
      <c r="Z30"/>
      <c r="AA30"/>
      <c r="AB30">
        <f>AB29/3</f>
        <v>23</v>
      </c>
      <c r="AC30"/>
    </row>
    <row r="31" spans="1:29" x14ac:dyDescent="0.25">
      <c r="A31" s="172"/>
      <c r="B31" s="91" t="s">
        <v>8</v>
      </c>
      <c r="C31" s="81">
        <f t="shared" si="15"/>
        <v>100</v>
      </c>
      <c r="D31" s="72">
        <f t="shared" si="15"/>
        <v>100</v>
      </c>
      <c r="E31" s="73">
        <f t="shared" si="15"/>
        <v>95</v>
      </c>
      <c r="F31" s="55">
        <f t="shared" si="16"/>
        <v>98.399999999999991</v>
      </c>
      <c r="G31" s="81">
        <f t="shared" si="17"/>
        <v>50</v>
      </c>
      <c r="H31" s="72">
        <f t="shared" si="17"/>
        <v>65</v>
      </c>
      <c r="I31" s="73">
        <f t="shared" si="17"/>
        <v>88</v>
      </c>
      <c r="J31" s="77">
        <f t="shared" si="18"/>
        <v>67.699999999999989</v>
      </c>
      <c r="K31" s="97">
        <f t="shared" si="19"/>
        <v>89</v>
      </c>
      <c r="L31" s="98">
        <f t="shared" si="12"/>
        <v>99</v>
      </c>
      <c r="M31" s="99">
        <f t="shared" si="12"/>
        <v>95</v>
      </c>
      <c r="N31" s="77">
        <f t="shared" si="20"/>
        <v>94.399999999999991</v>
      </c>
      <c r="O31" s="97">
        <f t="shared" si="21"/>
        <v>100</v>
      </c>
      <c r="P31" s="98">
        <f t="shared" si="13"/>
        <v>100</v>
      </c>
      <c r="Q31" s="99">
        <f t="shared" si="13"/>
        <v>95</v>
      </c>
      <c r="R31" s="55">
        <f t="shared" si="22"/>
        <v>98.399999999999991</v>
      </c>
      <c r="S31" s="97">
        <f t="shared" si="23"/>
        <v>100</v>
      </c>
      <c r="T31" s="98">
        <f t="shared" si="14"/>
        <v>100</v>
      </c>
      <c r="U31" s="99">
        <f t="shared" si="14"/>
        <v>95</v>
      </c>
      <c r="V31" s="55">
        <f t="shared" si="24"/>
        <v>98.399999999999991</v>
      </c>
      <c r="X31" s="168" t="s">
        <v>48</v>
      </c>
      <c r="Z31"/>
      <c r="AA31"/>
      <c r="AB31">
        <f>100*AB30/300</f>
        <v>7.666666666666667</v>
      </c>
      <c r="AC31"/>
    </row>
    <row r="32" spans="1:29" ht="15.75" thickBot="1" x14ac:dyDescent="0.3">
      <c r="A32" s="199"/>
      <c r="B32" s="92" t="s">
        <v>9</v>
      </c>
      <c r="C32" s="83">
        <f t="shared" si="15"/>
        <v>100</v>
      </c>
      <c r="D32" s="75">
        <f t="shared" si="15"/>
        <v>98</v>
      </c>
      <c r="E32" s="76">
        <f t="shared" si="15"/>
        <v>100</v>
      </c>
      <c r="F32" s="56">
        <f t="shared" si="16"/>
        <v>99.399999999999991</v>
      </c>
      <c r="G32" s="83">
        <f t="shared" si="17"/>
        <v>100</v>
      </c>
      <c r="H32" s="75">
        <f t="shared" si="17"/>
        <v>95</v>
      </c>
      <c r="I32" s="76">
        <f t="shared" si="17"/>
        <v>99</v>
      </c>
      <c r="J32" s="78">
        <f t="shared" si="18"/>
        <v>98</v>
      </c>
      <c r="K32" s="144">
        <f t="shared" si="19"/>
        <v>100</v>
      </c>
      <c r="L32" s="145">
        <f t="shared" si="12"/>
        <v>97</v>
      </c>
      <c r="M32" s="146">
        <f t="shared" si="12"/>
        <v>100</v>
      </c>
      <c r="N32" s="137">
        <f t="shared" si="20"/>
        <v>99</v>
      </c>
      <c r="O32" s="144">
        <f t="shared" si="21"/>
        <v>100</v>
      </c>
      <c r="P32" s="145">
        <f t="shared" si="13"/>
        <v>97</v>
      </c>
      <c r="Q32" s="146">
        <f t="shared" si="13"/>
        <v>100</v>
      </c>
      <c r="R32" s="123">
        <f t="shared" si="22"/>
        <v>99</v>
      </c>
      <c r="S32" s="144">
        <f t="shared" si="23"/>
        <v>100</v>
      </c>
      <c r="T32" s="145">
        <f t="shared" si="14"/>
        <v>98</v>
      </c>
      <c r="U32" s="146">
        <f t="shared" si="14"/>
        <v>100</v>
      </c>
      <c r="V32" s="123">
        <f t="shared" si="24"/>
        <v>99.399999999999991</v>
      </c>
      <c r="X32" s="168" t="s">
        <v>49</v>
      </c>
      <c r="Z32"/>
      <c r="AA32"/>
      <c r="AB32">
        <f>100*AB31/300</f>
        <v>2.5555555555555558</v>
      </c>
      <c r="AC32"/>
    </row>
    <row r="33" spans="1:29" x14ac:dyDescent="0.25">
      <c r="A33" s="173" t="s">
        <v>42</v>
      </c>
      <c r="B33" s="67" t="s">
        <v>10</v>
      </c>
      <c r="H33"/>
      <c r="I33"/>
      <c r="J33"/>
      <c r="K33" s="79">
        <f>20-G3-IF(K3="--",0,K3)+20-G8-IF(K8="--",0,K8)+20-G13-IF(K13="--",0,K13)+20-G18-IF(K18="--",0,K18)+20-G23-IF(K23="--",0,K23)</f>
        <v>15</v>
      </c>
      <c r="L33" s="69">
        <f t="shared" ref="L33:M37" si="25">20-H3-IF(L3="--",0,L3)+20-H8-IF(L8="--",0,L8)+20-H13-IF(L13="--",0,L13)+20-H18-IF(L18="--",0,L18)+20-H23-IF(L23="--",0,L23)</f>
        <v>15</v>
      </c>
      <c r="M33" s="70">
        <f t="shared" si="25"/>
        <v>23</v>
      </c>
      <c r="N33" s="19">
        <f>SUM(K33:M33)</f>
        <v>53</v>
      </c>
      <c r="O33" s="79">
        <f>20-G3-IF(K3="--",0,K3)-IF(O3="--",0,O3)+20-G8-IF(K8="--",0,K8)-IF(O8="--",0,O8)+20-G13-IF(K13="--",0,K13)-IF(O13="--",0,O13)+20-G18-IF(K18="--",0,K18)-IF(O18="--",0,O18)+20-G23-IF(K23="--",0,K23)-IF(O23="--",0,O23)</f>
        <v>15</v>
      </c>
      <c r="P33" s="69">
        <f t="shared" ref="P33:Q37" si="26">20-H3-IF(L3="--",0,L3)-IF(P3="--",0,P3)+20-H8-IF(L8="--",0,L8)-IF(P8="--",0,P8)+20-H13-IF(L13="--",0,L13)-IF(P13="--",0,P13)+20-H18-IF(L18="--",0,L18)-IF(P18="--",0,P18)+20-H23-IF(L23="--",0,L23)-IF(P23="--",0,P23)</f>
        <v>14</v>
      </c>
      <c r="Q33" s="80">
        <f t="shared" si="26"/>
        <v>17</v>
      </c>
      <c r="R33" s="38">
        <f>SUM(O33:Q33)</f>
        <v>46</v>
      </c>
      <c r="S33" s="79">
        <f>20-G3-IF(K3="--",0,K3)-IF(O3="--",0,O3)-IF(S3="--",0,S3)+20-G8-IF(K8="--",0,K8)-IF(O8="--",0,O8)-IF(S8="--",0,S8)+20-G13-IF(K13="--",0,K13)-IF(S13="--",0,S13)-IF(O13="--",0,O13)+20-G18-IF(K18="--",0,K18)-IF(O18="--",0,O18)-IF(S18="--",0,S18)+20-G23-IF(K23="--",0,K23)-IF(O23="--",0,O23)-IF(S23="--",0,S23)</f>
        <v>15</v>
      </c>
      <c r="T33" s="69">
        <f t="shared" ref="T33:U37" si="27">20-H3-IF(L3="--",0,L3)-IF(P3="--",0,P3)-IF(T3="--",0,T3)+20-H8-IF(L8="--",0,L8)-IF(P8="--",0,P8)-IF(T8="--",0,T8)+20-H13-IF(L13="--",0,L13)-IF(T13="--",0,T13)-IF(P13="--",0,P13)+20-H18-IF(L18="--",0,L18)-IF(P18="--",0,P18)-IF(T18="--",0,T18)+20-H23-IF(L23="--",0,L23)-IF(P23="--",0,P23)-IF(T23="--",0,T23)</f>
        <v>14</v>
      </c>
      <c r="U33" s="80">
        <f t="shared" si="27"/>
        <v>17</v>
      </c>
      <c r="V33" s="19">
        <f>SUM(S33:U33)</f>
        <v>46</v>
      </c>
      <c r="Z33"/>
      <c r="AA33"/>
      <c r="AB33"/>
      <c r="AC33"/>
    </row>
    <row r="34" spans="1:29" x14ac:dyDescent="0.25">
      <c r="A34" s="174"/>
      <c r="B34" s="63" t="s">
        <v>22</v>
      </c>
      <c r="H34"/>
      <c r="I34"/>
      <c r="J34"/>
      <c r="K34" s="81">
        <f t="shared" ref="K34:K37" si="28">20-G4-IF(K4="--",0,K4)+20-G9-IF(K9="--",0,K9)+20-G14-IF(K14="--",0,K14)+20-G19-IF(K19="--",0,K19)+20-G24-IF(K24="--",0,K24)</f>
        <v>1</v>
      </c>
      <c r="L34" s="72">
        <f t="shared" si="25"/>
        <v>0</v>
      </c>
      <c r="M34" s="73">
        <f t="shared" si="25"/>
        <v>2</v>
      </c>
      <c r="N34" s="55">
        <f t="shared" ref="N34:N37" si="29">SUM(K34:M34)</f>
        <v>3</v>
      </c>
      <c r="O34" s="81">
        <f t="shared" ref="O34:O37" si="30">20-G4-IF(K4="--",0,K4)-IF(O4="--",0,O4)+20-G9-IF(K9="--",0,K9)-IF(O9="--",0,O9)+20-G14-IF(K14="--",0,K14)-IF(O14="--",0,O14)+20-G19-IF(K19="--",0,K19)-IF(O19="--",0,O19)+20-G24-IF(K24="--",0,K24)-IF(O24="--",0,O24)</f>
        <v>1</v>
      </c>
      <c r="P34" s="72">
        <f t="shared" si="26"/>
        <v>0</v>
      </c>
      <c r="Q34" s="82">
        <f t="shared" si="26"/>
        <v>1</v>
      </c>
      <c r="R34" s="77">
        <f t="shared" ref="R34:R37" si="31">SUM(O34:Q34)</f>
        <v>2</v>
      </c>
      <c r="S34" s="81">
        <f t="shared" ref="S34:S37" si="32">20-G4-IF(K4="--",0,K4)-IF(O4="--",0,O4)-IF(S4="--",0,S4)+20-G9-IF(K9="--",0,K9)-IF(O9="--",0,O9)-IF(S9="--",0,S9)+20-G14-IF(K14="--",0,K14)-IF(S14="--",0,S14)-IF(O14="--",0,O14)+20-G19-IF(K19="--",0,K19)-IF(O19="--",0,O19)-IF(S19="--",0,S19)+20-G24-IF(K24="--",0,K24)-IF(O24="--",0,O24)-IF(S24="--",0,S24)</f>
        <v>1</v>
      </c>
      <c r="T34" s="72">
        <f t="shared" si="27"/>
        <v>0</v>
      </c>
      <c r="U34" s="82">
        <f t="shared" si="27"/>
        <v>1</v>
      </c>
      <c r="V34" s="55">
        <f t="shared" ref="V34:V37" si="33">SUM(S34:U34)</f>
        <v>2</v>
      </c>
      <c r="Z34"/>
      <c r="AA34"/>
      <c r="AB34"/>
      <c r="AC34"/>
    </row>
    <row r="35" spans="1:29" x14ac:dyDescent="0.25">
      <c r="A35" s="174"/>
      <c r="B35" s="63" t="s">
        <v>11</v>
      </c>
      <c r="H35"/>
      <c r="I35"/>
      <c r="J35"/>
      <c r="K35" s="81">
        <f t="shared" si="28"/>
        <v>28</v>
      </c>
      <c r="L35" s="72">
        <f t="shared" si="25"/>
        <v>10</v>
      </c>
      <c r="M35" s="73">
        <f t="shared" si="25"/>
        <v>33</v>
      </c>
      <c r="N35" s="55">
        <f t="shared" si="29"/>
        <v>71</v>
      </c>
      <c r="O35" s="81">
        <f t="shared" si="30"/>
        <v>1</v>
      </c>
      <c r="P35" s="72">
        <f t="shared" si="26"/>
        <v>6</v>
      </c>
      <c r="Q35" s="82">
        <f t="shared" si="26"/>
        <v>14</v>
      </c>
      <c r="R35" s="77">
        <f t="shared" si="31"/>
        <v>21</v>
      </c>
      <c r="S35" s="81">
        <f t="shared" si="32"/>
        <v>1</v>
      </c>
      <c r="T35" s="72">
        <f t="shared" si="27"/>
        <v>6</v>
      </c>
      <c r="U35" s="82">
        <f t="shared" si="27"/>
        <v>7</v>
      </c>
      <c r="V35" s="55">
        <f t="shared" si="33"/>
        <v>14</v>
      </c>
      <c r="Z35"/>
      <c r="AA35"/>
      <c r="AB35"/>
      <c r="AC35"/>
    </row>
    <row r="36" spans="1:29" x14ac:dyDescent="0.25">
      <c r="A36" s="174"/>
      <c r="B36" s="64" t="s">
        <v>8</v>
      </c>
      <c r="H36"/>
      <c r="I36"/>
      <c r="J36"/>
      <c r="K36" s="81">
        <f t="shared" si="28"/>
        <v>11</v>
      </c>
      <c r="L36" s="72">
        <f t="shared" si="25"/>
        <v>1</v>
      </c>
      <c r="M36" s="73">
        <f t="shared" si="25"/>
        <v>5</v>
      </c>
      <c r="N36" s="55">
        <f t="shared" si="29"/>
        <v>17</v>
      </c>
      <c r="O36" s="81">
        <f t="shared" si="30"/>
        <v>0</v>
      </c>
      <c r="P36" s="72">
        <f t="shared" si="26"/>
        <v>0</v>
      </c>
      <c r="Q36" s="82">
        <f t="shared" si="26"/>
        <v>5</v>
      </c>
      <c r="R36" s="77">
        <f t="shared" si="31"/>
        <v>5</v>
      </c>
      <c r="S36" s="81">
        <f t="shared" si="32"/>
        <v>0</v>
      </c>
      <c r="T36" s="72">
        <f t="shared" si="27"/>
        <v>0</v>
      </c>
      <c r="U36" s="82">
        <f t="shared" si="27"/>
        <v>5</v>
      </c>
      <c r="V36" s="55">
        <f t="shared" si="33"/>
        <v>5</v>
      </c>
      <c r="Z36"/>
      <c r="AA36"/>
      <c r="AB36"/>
      <c r="AC36"/>
    </row>
    <row r="37" spans="1:29" ht="15.75" thickBot="1" x14ac:dyDescent="0.3">
      <c r="A37" s="175"/>
      <c r="B37" s="65" t="s">
        <v>9</v>
      </c>
      <c r="H37"/>
      <c r="I37"/>
      <c r="J37"/>
      <c r="K37" s="120">
        <f t="shared" si="28"/>
        <v>0</v>
      </c>
      <c r="L37" s="121">
        <f t="shared" si="25"/>
        <v>3</v>
      </c>
      <c r="M37" s="122">
        <f t="shared" si="25"/>
        <v>0</v>
      </c>
      <c r="N37" s="56">
        <f t="shared" si="29"/>
        <v>3</v>
      </c>
      <c r="O37" s="83">
        <f t="shared" si="30"/>
        <v>0</v>
      </c>
      <c r="P37" s="75">
        <f t="shared" si="26"/>
        <v>3</v>
      </c>
      <c r="Q37" s="84">
        <f t="shared" si="26"/>
        <v>0</v>
      </c>
      <c r="R37" s="78">
        <f t="shared" si="31"/>
        <v>3</v>
      </c>
      <c r="S37" s="83">
        <f t="shared" si="32"/>
        <v>0</v>
      </c>
      <c r="T37" s="75">
        <f t="shared" si="27"/>
        <v>2</v>
      </c>
      <c r="U37" s="84">
        <f t="shared" si="27"/>
        <v>0</v>
      </c>
      <c r="V37" s="123">
        <f t="shared" si="33"/>
        <v>2</v>
      </c>
      <c r="Z37"/>
      <c r="AA37"/>
      <c r="AB37"/>
      <c r="AC37"/>
    </row>
    <row r="38" spans="1:29" x14ac:dyDescent="0.25">
      <c r="A38" s="173" t="s">
        <v>43</v>
      </c>
      <c r="B38" s="67" t="s">
        <v>10</v>
      </c>
      <c r="H38"/>
      <c r="I38"/>
      <c r="J38"/>
      <c r="K38" s="79">
        <f>100-(G3+G8+G13+G18+G23)</f>
        <v>37</v>
      </c>
      <c r="L38" s="69">
        <f t="shared" ref="L38:M42" si="34">100-(H3+H8+H13+H18+H23)</f>
        <v>51</v>
      </c>
      <c r="M38" s="70">
        <f t="shared" si="34"/>
        <v>32</v>
      </c>
      <c r="N38" s="19">
        <f>SUM(K38:M38)</f>
        <v>120</v>
      </c>
      <c r="O38" s="79">
        <f>100-(G3+IF(K3="--",0,K3)+G8+IF(K8="--",0,K8)+G13+IF(K13="--",0,K13)+G18+IF(K18="--",0,K18)+G23+IF(K23="--",0,K23))</f>
        <v>15</v>
      </c>
      <c r="P38" s="69">
        <f t="shared" ref="P38:Q42" si="35">100-(H3+IF(L3="--",0,L3)+H8+IF(L8="--",0,L8)+H13+IF(L13="--",0,L13)+H18+IF(L18="--",0,L18)+H23+IF(L23="--",0,L23))</f>
        <v>15</v>
      </c>
      <c r="Q38" s="70">
        <f t="shared" si="35"/>
        <v>23</v>
      </c>
      <c r="R38" s="19">
        <f>SUM(O38:Q38)</f>
        <v>53</v>
      </c>
      <c r="S38" s="79">
        <f>100-(G3+IF(K3="--",0,K3)+IF(O3="--",0,O3)+G8+IF(K8="--",0,K8)+IF(O8="--",0,O8)+G13+IF(K13="--",0,K13)+IF(O13="--",0,O13)+G18+IF(K18="--",0,K18)+IF(O18="--",0,O18)+G23+IF(K23="--",0,K23)+IF(O23="--",0,O23))</f>
        <v>15</v>
      </c>
      <c r="T38" s="69">
        <f t="shared" ref="T38:U42" si="36">100-(H3+IF(L3="--",0,L3)+IF(P3="--",0,P3)+H8+IF(L8="--",0,L8)+IF(P8="--",0,P8)+H13+IF(L13="--",0,L13)+IF(P13="--",0,P13)+H18+IF(L18="--",0,L18)+IF(P18="--",0,P18)+H23+IF(L23="--",0,L23)+IF(P23="--",0,P23))</f>
        <v>14</v>
      </c>
      <c r="U38" s="80">
        <f t="shared" si="36"/>
        <v>17</v>
      </c>
      <c r="V38" s="19">
        <f>SUM(S38:U38)</f>
        <v>46</v>
      </c>
      <c r="Z38"/>
      <c r="AA38"/>
      <c r="AB38"/>
      <c r="AC38"/>
    </row>
    <row r="39" spans="1:29" x14ac:dyDescent="0.25">
      <c r="A39" s="174"/>
      <c r="B39" s="63" t="s">
        <v>22</v>
      </c>
      <c r="H39"/>
      <c r="I39"/>
      <c r="J39"/>
      <c r="K39" s="81">
        <f t="shared" ref="K39:K42" si="37">100-(G4+G9+G14+G19+G24)</f>
        <v>1</v>
      </c>
      <c r="L39" s="72">
        <f t="shared" si="34"/>
        <v>0</v>
      </c>
      <c r="M39" s="73">
        <f t="shared" si="34"/>
        <v>5</v>
      </c>
      <c r="N39" s="55">
        <f t="shared" ref="N39:N42" si="38">SUM(K39:M39)</f>
        <v>6</v>
      </c>
      <c r="O39" s="81">
        <f t="shared" ref="O39:O42" si="39">100-(G4+IF(K4="--",0,K4)+G9+IF(K9="--",0,K9)+G14+IF(K14="--",0,K14)+G19+IF(K19="--",0,K19)+G24+IF(K24="--",0,K24))</f>
        <v>1</v>
      </c>
      <c r="P39" s="72">
        <f t="shared" si="35"/>
        <v>0</v>
      </c>
      <c r="Q39" s="73">
        <f t="shared" si="35"/>
        <v>2</v>
      </c>
      <c r="R39" s="55">
        <f t="shared" ref="R39:R42" si="40">SUM(O39:Q39)</f>
        <v>3</v>
      </c>
      <c r="S39" s="81">
        <f t="shared" ref="S39:S42" si="41">100-(G4+IF(K4="--",0,K4)+IF(O4="--",0,O4)+G9+IF(K9="--",0,K9)+IF(O9="--",0,O9)+G14+IF(K14="--",0,K14)+IF(O14="--",0,O14)+G19+IF(K19="--",0,K19)+IF(O19="--",0,O19)+G24+IF(K24="--",0,K24)+IF(O24="--",0,O24))</f>
        <v>1</v>
      </c>
      <c r="T39" s="72">
        <f t="shared" si="36"/>
        <v>0</v>
      </c>
      <c r="U39" s="82">
        <f t="shared" si="36"/>
        <v>1</v>
      </c>
      <c r="V39" s="55">
        <f t="shared" ref="V39:V42" si="42">SUM(S39:U39)</f>
        <v>2</v>
      </c>
      <c r="Z39"/>
      <c r="AA39"/>
      <c r="AB39"/>
      <c r="AC39"/>
    </row>
    <row r="40" spans="1:29" x14ac:dyDescent="0.25">
      <c r="A40" s="174"/>
      <c r="B40" s="63" t="s">
        <v>11</v>
      </c>
      <c r="H40"/>
      <c r="I40"/>
      <c r="J40"/>
      <c r="K40" s="81">
        <f t="shared" si="37"/>
        <v>83</v>
      </c>
      <c r="L40" s="72">
        <f t="shared" si="34"/>
        <v>36</v>
      </c>
      <c r="M40" s="73">
        <f t="shared" si="34"/>
        <v>78</v>
      </c>
      <c r="N40" s="55">
        <f t="shared" si="38"/>
        <v>197</v>
      </c>
      <c r="O40" s="81">
        <f t="shared" si="39"/>
        <v>28</v>
      </c>
      <c r="P40" s="72">
        <f t="shared" si="35"/>
        <v>10</v>
      </c>
      <c r="Q40" s="73">
        <f t="shared" si="35"/>
        <v>33</v>
      </c>
      <c r="R40" s="55">
        <f t="shared" si="40"/>
        <v>71</v>
      </c>
      <c r="S40" s="81">
        <f t="shared" si="41"/>
        <v>1</v>
      </c>
      <c r="T40" s="72">
        <f t="shared" si="36"/>
        <v>6</v>
      </c>
      <c r="U40" s="82">
        <f t="shared" si="36"/>
        <v>14</v>
      </c>
      <c r="V40" s="55">
        <f t="shared" si="42"/>
        <v>21</v>
      </c>
      <c r="Z40"/>
      <c r="AA40"/>
      <c r="AB40"/>
      <c r="AC40"/>
    </row>
    <row r="41" spans="1:29" x14ac:dyDescent="0.25">
      <c r="A41" s="174"/>
      <c r="B41" s="64" t="s">
        <v>8</v>
      </c>
      <c r="H41"/>
      <c r="I41"/>
      <c r="J41"/>
      <c r="K41" s="81">
        <f t="shared" si="37"/>
        <v>50</v>
      </c>
      <c r="L41" s="72">
        <f t="shared" si="34"/>
        <v>35</v>
      </c>
      <c r="M41" s="73">
        <f t="shared" si="34"/>
        <v>12</v>
      </c>
      <c r="N41" s="55">
        <f t="shared" si="38"/>
        <v>97</v>
      </c>
      <c r="O41" s="81">
        <f t="shared" si="39"/>
        <v>11</v>
      </c>
      <c r="P41" s="72">
        <f t="shared" si="35"/>
        <v>1</v>
      </c>
      <c r="Q41" s="73">
        <f t="shared" si="35"/>
        <v>5</v>
      </c>
      <c r="R41" s="55">
        <f t="shared" si="40"/>
        <v>17</v>
      </c>
      <c r="S41" s="81">
        <f t="shared" si="41"/>
        <v>0</v>
      </c>
      <c r="T41" s="72">
        <f t="shared" si="36"/>
        <v>0</v>
      </c>
      <c r="U41" s="82">
        <f t="shared" si="36"/>
        <v>5</v>
      </c>
      <c r="V41" s="55">
        <f t="shared" si="42"/>
        <v>5</v>
      </c>
      <c r="Z41"/>
      <c r="AA41"/>
      <c r="AB41"/>
      <c r="AC41"/>
    </row>
    <row r="42" spans="1:29" ht="15.75" thickBot="1" x14ac:dyDescent="0.3">
      <c r="A42" s="175"/>
      <c r="B42" s="65" t="s">
        <v>9</v>
      </c>
      <c r="H42"/>
      <c r="I42"/>
      <c r="J42"/>
      <c r="K42" s="120">
        <f t="shared" si="37"/>
        <v>0</v>
      </c>
      <c r="L42" s="121">
        <f t="shared" si="34"/>
        <v>5</v>
      </c>
      <c r="M42" s="122">
        <f t="shared" si="34"/>
        <v>1</v>
      </c>
      <c r="N42" s="56">
        <f t="shared" si="38"/>
        <v>6</v>
      </c>
      <c r="O42" s="83">
        <f t="shared" si="39"/>
        <v>0</v>
      </c>
      <c r="P42" s="75">
        <f t="shared" si="35"/>
        <v>3</v>
      </c>
      <c r="Q42" s="76">
        <f t="shared" si="35"/>
        <v>0</v>
      </c>
      <c r="R42" s="56">
        <f t="shared" si="40"/>
        <v>3</v>
      </c>
      <c r="S42" s="83">
        <f t="shared" si="41"/>
        <v>0</v>
      </c>
      <c r="T42" s="75">
        <f t="shared" si="36"/>
        <v>3</v>
      </c>
      <c r="U42" s="84">
        <f t="shared" si="36"/>
        <v>0</v>
      </c>
      <c r="V42" s="56">
        <f t="shared" si="42"/>
        <v>3</v>
      </c>
      <c r="Z42"/>
      <c r="AA42"/>
      <c r="AB42"/>
      <c r="AC42"/>
    </row>
    <row r="43" spans="1:29" x14ac:dyDescent="0.25">
      <c r="A43" s="173" t="s">
        <v>44</v>
      </c>
      <c r="B43" s="67" t="s">
        <v>10</v>
      </c>
      <c r="H43"/>
      <c r="I43"/>
      <c r="J43"/>
      <c r="K43" s="79">
        <f>IF(K38=0,0,100*K33/K38)</f>
        <v>40.54054054054054</v>
      </c>
      <c r="L43" s="69">
        <f t="shared" ref="L43:M43" si="43">IF(L38=0,0,100*L33/L38)</f>
        <v>29.411764705882351</v>
      </c>
      <c r="M43" s="70">
        <f t="shared" si="43"/>
        <v>71.875</v>
      </c>
      <c r="N43" s="38">
        <f>IF(N38=0,0,100*N33/N38)</f>
        <v>44.166666666666664</v>
      </c>
      <c r="O43" s="79">
        <f>IF(O38=0,0,100*O33/O38)</f>
        <v>100</v>
      </c>
      <c r="P43" s="69">
        <f t="shared" ref="P43:Q43" si="44">IF(P38=0,0,100*P33/P38)</f>
        <v>93.333333333333329</v>
      </c>
      <c r="Q43" s="80">
        <f t="shared" si="44"/>
        <v>73.913043478260875</v>
      </c>
      <c r="R43" s="19">
        <f>IF(R38=0,0,100*R33/R38)</f>
        <v>86.79245283018868</v>
      </c>
      <c r="S43" s="79">
        <f>IF(S38=0,0,100*S33/S38)</f>
        <v>100</v>
      </c>
      <c r="T43" s="69">
        <f t="shared" ref="T43:U43" si="45">IF(T38=0,0,100*T33/T38)</f>
        <v>100</v>
      </c>
      <c r="U43" s="80">
        <f t="shared" si="45"/>
        <v>100</v>
      </c>
      <c r="V43" s="153">
        <f>IF(V38=0,0,100*V33/V38)</f>
        <v>100</v>
      </c>
      <c r="Z43"/>
      <c r="AA43"/>
      <c r="AB43"/>
      <c r="AC43"/>
    </row>
    <row r="44" spans="1:29" x14ac:dyDescent="0.25">
      <c r="A44" s="176"/>
      <c r="B44" s="63" t="s">
        <v>22</v>
      </c>
      <c r="H44"/>
      <c r="I44"/>
      <c r="J44"/>
      <c r="K44" s="81">
        <f t="shared" ref="K44:V47" si="46">IF(K39=0,0,100*K34/K39)</f>
        <v>100</v>
      </c>
      <c r="L44" s="72">
        <f t="shared" si="46"/>
        <v>0</v>
      </c>
      <c r="M44" s="73">
        <f t="shared" si="46"/>
        <v>40</v>
      </c>
      <c r="N44" s="77">
        <f t="shared" si="46"/>
        <v>50</v>
      </c>
      <c r="O44" s="81">
        <f t="shared" si="46"/>
        <v>100</v>
      </c>
      <c r="P44" s="72">
        <f t="shared" si="46"/>
        <v>0</v>
      </c>
      <c r="Q44" s="82">
        <f t="shared" si="46"/>
        <v>50</v>
      </c>
      <c r="R44" s="55">
        <f t="shared" si="46"/>
        <v>66.666666666666671</v>
      </c>
      <c r="S44" s="132">
        <f t="shared" si="46"/>
        <v>100</v>
      </c>
      <c r="T44" s="133">
        <f t="shared" si="46"/>
        <v>0</v>
      </c>
      <c r="U44" s="152">
        <f t="shared" si="46"/>
        <v>100</v>
      </c>
      <c r="V44" s="154">
        <f t="shared" si="46"/>
        <v>100</v>
      </c>
      <c r="Z44"/>
      <c r="AA44"/>
      <c r="AB44"/>
      <c r="AC44"/>
    </row>
    <row r="45" spans="1:29" x14ac:dyDescent="0.25">
      <c r="A45" s="176"/>
      <c r="B45" s="63" t="s">
        <v>11</v>
      </c>
      <c r="H45"/>
      <c r="I45"/>
      <c r="J45"/>
      <c r="K45" s="81">
        <f t="shared" si="46"/>
        <v>33.734939759036145</v>
      </c>
      <c r="L45" s="72">
        <f t="shared" si="46"/>
        <v>27.777777777777779</v>
      </c>
      <c r="M45" s="73">
        <f t="shared" si="46"/>
        <v>42.307692307692307</v>
      </c>
      <c r="N45" s="77">
        <f t="shared" si="46"/>
        <v>36.040609137055839</v>
      </c>
      <c r="O45" s="81">
        <f t="shared" si="46"/>
        <v>3.5714285714285716</v>
      </c>
      <c r="P45" s="72">
        <f t="shared" si="46"/>
        <v>60</v>
      </c>
      <c r="Q45" s="82">
        <f t="shared" si="46"/>
        <v>42.424242424242422</v>
      </c>
      <c r="R45" s="55">
        <f t="shared" si="46"/>
        <v>29.577464788732396</v>
      </c>
      <c r="S45" s="132">
        <f t="shared" si="46"/>
        <v>100</v>
      </c>
      <c r="T45" s="133">
        <f t="shared" si="46"/>
        <v>100</v>
      </c>
      <c r="U45" s="152">
        <f t="shared" si="46"/>
        <v>50</v>
      </c>
      <c r="V45" s="154">
        <f t="shared" si="46"/>
        <v>66.666666666666671</v>
      </c>
      <c r="Z45"/>
      <c r="AA45"/>
      <c r="AB45"/>
      <c r="AC45"/>
    </row>
    <row r="46" spans="1:29" x14ac:dyDescent="0.25">
      <c r="A46" s="176"/>
      <c r="B46" s="64" t="s">
        <v>8</v>
      </c>
      <c r="H46"/>
      <c r="I46"/>
      <c r="J46"/>
      <c r="K46" s="81">
        <f t="shared" si="46"/>
        <v>22</v>
      </c>
      <c r="L46" s="72">
        <f t="shared" si="46"/>
        <v>2.8571428571428572</v>
      </c>
      <c r="M46" s="73">
        <f t="shared" si="46"/>
        <v>41.666666666666664</v>
      </c>
      <c r="N46" s="77">
        <f t="shared" si="46"/>
        <v>17.52577319587629</v>
      </c>
      <c r="O46" s="81">
        <f t="shared" si="46"/>
        <v>0</v>
      </c>
      <c r="P46" s="72">
        <f t="shared" si="46"/>
        <v>0</v>
      </c>
      <c r="Q46" s="82">
        <f t="shared" si="46"/>
        <v>100</v>
      </c>
      <c r="R46" s="55">
        <f t="shared" si="46"/>
        <v>29.411764705882351</v>
      </c>
      <c r="S46" s="132">
        <f t="shared" si="46"/>
        <v>0</v>
      </c>
      <c r="T46" s="133">
        <f t="shared" si="46"/>
        <v>0</v>
      </c>
      <c r="U46" s="152">
        <f t="shared" si="46"/>
        <v>100</v>
      </c>
      <c r="V46" s="154">
        <f t="shared" si="46"/>
        <v>100</v>
      </c>
      <c r="Z46"/>
      <c r="AA46"/>
      <c r="AB46"/>
      <c r="AC46"/>
    </row>
    <row r="47" spans="1:29" ht="15.75" thickBot="1" x14ac:dyDescent="0.3">
      <c r="A47" s="177"/>
      <c r="B47" s="65" t="s">
        <v>9</v>
      </c>
      <c r="H47"/>
      <c r="I47"/>
      <c r="J47"/>
      <c r="K47" s="83">
        <f t="shared" si="46"/>
        <v>0</v>
      </c>
      <c r="L47" s="75">
        <f t="shared" si="46"/>
        <v>60</v>
      </c>
      <c r="M47" s="76">
        <f t="shared" si="46"/>
        <v>0</v>
      </c>
      <c r="N47" s="78">
        <f t="shared" si="46"/>
        <v>50</v>
      </c>
      <c r="O47" s="83">
        <f t="shared" si="46"/>
        <v>0</v>
      </c>
      <c r="P47" s="75">
        <f t="shared" si="46"/>
        <v>100</v>
      </c>
      <c r="Q47" s="84">
        <f t="shared" si="46"/>
        <v>0</v>
      </c>
      <c r="R47" s="56">
        <f t="shared" si="46"/>
        <v>100</v>
      </c>
      <c r="S47" s="140">
        <f t="shared" si="46"/>
        <v>0</v>
      </c>
      <c r="T47" s="147">
        <f t="shared" si="46"/>
        <v>66.666666666666671</v>
      </c>
      <c r="U47" s="148">
        <f t="shared" si="46"/>
        <v>0</v>
      </c>
      <c r="V47" s="155">
        <f t="shared" si="46"/>
        <v>66.666666666666671</v>
      </c>
      <c r="Z47"/>
      <c r="AA47"/>
      <c r="AB47"/>
      <c r="AC47"/>
    </row>
    <row r="48" spans="1:29" x14ac:dyDescent="0.25"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8:29" x14ac:dyDescent="0.25"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8:29" x14ac:dyDescent="0.25"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8:29" x14ac:dyDescent="0.25"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8:29" x14ac:dyDescent="0.25"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8:29" x14ac:dyDescent="0.25"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8:29" x14ac:dyDescent="0.25"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8:29" x14ac:dyDescent="0.25"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8:29" x14ac:dyDescent="0.25"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8:29" x14ac:dyDescent="0.25"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8:29" x14ac:dyDescent="0.25"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8:29" x14ac:dyDescent="0.25"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</sheetData>
  <mergeCells count="15">
    <mergeCell ref="C1:F1"/>
    <mergeCell ref="G1:J1"/>
    <mergeCell ref="K1:N1"/>
    <mergeCell ref="O1:R1"/>
    <mergeCell ref="S1:V1"/>
    <mergeCell ref="W1:Y1"/>
    <mergeCell ref="A33:A37"/>
    <mergeCell ref="A38:A42"/>
    <mergeCell ref="A43:A47"/>
    <mergeCell ref="A28:A32"/>
    <mergeCell ref="A3:A7"/>
    <mergeCell ref="A8:A12"/>
    <mergeCell ref="A13:A17"/>
    <mergeCell ref="A18:A22"/>
    <mergeCell ref="A23:A2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562F-1E85-4E17-8466-151C7EAF6DD3}">
  <dimension ref="A1:W60"/>
  <sheetViews>
    <sheetView zoomScale="85" zoomScaleNormal="85" workbookViewId="0">
      <selection activeCell="Y9" sqref="Y9"/>
    </sheetView>
  </sheetViews>
  <sheetFormatPr baseColWidth="10" defaultRowHeight="15" x14ac:dyDescent="0.25"/>
  <cols>
    <col min="1" max="1" width="9.85546875" customWidth="1"/>
    <col min="2" max="2" width="12.42578125" customWidth="1"/>
    <col min="3" max="4" width="5.85546875" style="1" customWidth="1"/>
    <col min="5" max="5" width="7.28515625" style="1" customWidth="1"/>
    <col min="6" max="19" width="5.85546875" style="1" customWidth="1"/>
    <col min="20" max="20" width="8.42578125" style="1" customWidth="1"/>
    <col min="21" max="21" width="8.140625" style="1" customWidth="1"/>
    <col min="22" max="22" width="7.85546875" style="1" customWidth="1"/>
  </cols>
  <sheetData>
    <row r="1" spans="1:22" ht="15.75" thickBot="1" x14ac:dyDescent="0.3">
      <c r="C1" s="206" t="s">
        <v>35</v>
      </c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</row>
    <row r="2" spans="1:22" ht="15.75" thickBot="1" x14ac:dyDescent="0.3">
      <c r="C2" s="185" t="s">
        <v>38</v>
      </c>
      <c r="D2" s="186"/>
      <c r="E2" s="187"/>
      <c r="F2" s="188" t="s">
        <v>17</v>
      </c>
      <c r="G2" s="189"/>
      <c r="H2" s="190"/>
      <c r="I2" s="188" t="s">
        <v>18</v>
      </c>
      <c r="J2" s="189"/>
      <c r="K2" s="190"/>
      <c r="L2" s="194" t="s">
        <v>19</v>
      </c>
      <c r="M2" s="195"/>
      <c r="N2" s="196"/>
      <c r="O2" s="197" t="s">
        <v>20</v>
      </c>
      <c r="P2" s="198"/>
      <c r="Q2" s="200"/>
      <c r="R2" s="204" t="s">
        <v>50</v>
      </c>
      <c r="S2" s="205"/>
      <c r="T2"/>
      <c r="U2"/>
      <c r="V2"/>
    </row>
    <row r="3" spans="1:22" ht="15.75" thickBot="1" x14ac:dyDescent="0.3">
      <c r="A3" s="6" t="s">
        <v>0</v>
      </c>
      <c r="B3" s="7" t="s">
        <v>7</v>
      </c>
      <c r="C3" s="8" t="s">
        <v>2</v>
      </c>
      <c r="D3" s="8" t="s">
        <v>3</v>
      </c>
      <c r="E3" s="17" t="s">
        <v>23</v>
      </c>
      <c r="F3" s="8" t="s">
        <v>2</v>
      </c>
      <c r="G3" s="8" t="s">
        <v>3</v>
      </c>
      <c r="H3" s="17" t="s">
        <v>24</v>
      </c>
      <c r="I3" s="8" t="s">
        <v>2</v>
      </c>
      <c r="J3" s="8" t="s">
        <v>3</v>
      </c>
      <c r="K3" s="17" t="s">
        <v>24</v>
      </c>
      <c r="L3" s="8" t="s">
        <v>2</v>
      </c>
      <c r="M3" s="8" t="s">
        <v>3</v>
      </c>
      <c r="N3" s="17" t="s">
        <v>24</v>
      </c>
      <c r="O3" s="40" t="s">
        <v>2</v>
      </c>
      <c r="P3" s="40" t="s">
        <v>3</v>
      </c>
      <c r="Q3" s="127" t="s">
        <v>24</v>
      </c>
      <c r="R3" s="7" t="s">
        <v>2</v>
      </c>
      <c r="S3" s="170" t="s">
        <v>3</v>
      </c>
      <c r="T3"/>
      <c r="U3"/>
      <c r="V3"/>
    </row>
    <row r="4" spans="1:22" x14ac:dyDescent="0.25">
      <c r="A4" s="178" t="s">
        <v>30</v>
      </c>
      <c r="B4" s="9" t="s">
        <v>10</v>
      </c>
      <c r="C4" s="3">
        <v>83.33</v>
      </c>
      <c r="D4" s="3">
        <v>83.33</v>
      </c>
      <c r="E4" s="19">
        <f>SUM(C4:D4)/2</f>
        <v>83.33</v>
      </c>
      <c r="F4" s="3">
        <v>5</v>
      </c>
      <c r="G4" s="3">
        <v>3</v>
      </c>
      <c r="H4" s="18">
        <f>100*SUM(F4:G4)/12</f>
        <v>66.666666666666671</v>
      </c>
      <c r="I4" s="21">
        <v>0</v>
      </c>
      <c r="J4" s="21">
        <v>2</v>
      </c>
      <c r="K4" s="18">
        <f>H4+100*SUM(I4:J4)/12</f>
        <v>83.333333333333343</v>
      </c>
      <c r="L4" s="36">
        <v>0</v>
      </c>
      <c r="M4" s="23">
        <v>0</v>
      </c>
      <c r="N4" s="42">
        <f>K4+100*SUM(L4:M4)/12</f>
        <v>83.333333333333343</v>
      </c>
      <c r="O4" s="36">
        <v>0</v>
      </c>
      <c r="P4" s="49">
        <v>0</v>
      </c>
      <c r="Q4" s="38">
        <f>N4+100*SUM(O4:P4)/12</f>
        <v>83.333333333333343</v>
      </c>
      <c r="R4" s="22">
        <v>0</v>
      </c>
      <c r="S4" s="24">
        <v>0</v>
      </c>
      <c r="T4"/>
      <c r="U4"/>
      <c r="V4"/>
    </row>
    <row r="5" spans="1:22" x14ac:dyDescent="0.25">
      <c r="A5" s="179"/>
      <c r="B5" s="9" t="s">
        <v>22</v>
      </c>
      <c r="C5" s="3">
        <v>100</v>
      </c>
      <c r="D5" s="3">
        <v>100</v>
      </c>
      <c r="E5" s="18">
        <f t="shared" ref="E5:E28" si="0">SUM(C5:D5)/2</f>
        <v>100</v>
      </c>
      <c r="F5" s="3">
        <v>6</v>
      </c>
      <c r="G5" s="3">
        <v>6</v>
      </c>
      <c r="H5" s="18">
        <f t="shared" ref="H5:H28" si="1">100*SUM(F5:G5)/12</f>
        <v>100</v>
      </c>
      <c r="I5" s="21" t="s">
        <v>21</v>
      </c>
      <c r="J5" s="21" t="s">
        <v>21</v>
      </c>
      <c r="K5" s="18">
        <f t="shared" ref="K5:K28" si="2">H5+100*SUM(I5:J5)/12</f>
        <v>100</v>
      </c>
      <c r="L5" s="25" t="s">
        <v>21</v>
      </c>
      <c r="M5" s="21" t="s">
        <v>21</v>
      </c>
      <c r="N5" s="42">
        <f t="shared" ref="N5:N28" si="3">K5+100*SUM(L5:M5)/12</f>
        <v>100</v>
      </c>
      <c r="O5" s="45" t="s">
        <v>21</v>
      </c>
      <c r="P5" s="50" t="s">
        <v>21</v>
      </c>
      <c r="Q5" s="42">
        <f t="shared" ref="Q5:Q28" si="4">N5+100*SUM(O5:P5)/12</f>
        <v>100</v>
      </c>
      <c r="R5" s="35">
        <v>0</v>
      </c>
      <c r="S5" s="28">
        <v>0</v>
      </c>
      <c r="T5"/>
      <c r="U5"/>
      <c r="V5"/>
    </row>
    <row r="6" spans="1:22" x14ac:dyDescent="0.25">
      <c r="A6" s="179"/>
      <c r="B6" s="9" t="s">
        <v>11</v>
      </c>
      <c r="C6" s="3">
        <v>50</v>
      </c>
      <c r="D6" s="3">
        <v>33.33</v>
      </c>
      <c r="E6" s="18">
        <f t="shared" si="0"/>
        <v>41.664999999999999</v>
      </c>
      <c r="F6" s="3">
        <v>2</v>
      </c>
      <c r="G6" s="21">
        <v>2</v>
      </c>
      <c r="H6" s="18">
        <f t="shared" si="1"/>
        <v>33.333333333333336</v>
      </c>
      <c r="I6" s="3">
        <v>1</v>
      </c>
      <c r="J6" s="21">
        <v>0</v>
      </c>
      <c r="K6" s="18">
        <f t="shared" si="2"/>
        <v>41.666666666666671</v>
      </c>
      <c r="L6" s="25">
        <v>0</v>
      </c>
      <c r="M6" s="21">
        <v>0</v>
      </c>
      <c r="N6" s="42">
        <f t="shared" si="3"/>
        <v>41.666666666666671</v>
      </c>
      <c r="O6" s="25">
        <v>0</v>
      </c>
      <c r="P6" s="50">
        <v>0</v>
      </c>
      <c r="Q6" s="42">
        <f t="shared" si="4"/>
        <v>41.666666666666671</v>
      </c>
      <c r="R6" s="35">
        <v>0</v>
      </c>
      <c r="S6" s="28">
        <v>0</v>
      </c>
      <c r="T6"/>
      <c r="U6"/>
      <c r="V6"/>
    </row>
    <row r="7" spans="1:22" x14ac:dyDescent="0.25">
      <c r="A7" s="180"/>
      <c r="B7" s="10" t="s">
        <v>8</v>
      </c>
      <c r="C7" s="2">
        <v>100</v>
      </c>
      <c r="D7" s="2">
        <v>50</v>
      </c>
      <c r="E7" s="18">
        <f t="shared" si="0"/>
        <v>75</v>
      </c>
      <c r="F7" s="44">
        <v>6</v>
      </c>
      <c r="G7" s="44">
        <v>3</v>
      </c>
      <c r="H7" s="18">
        <f t="shared" si="1"/>
        <v>75</v>
      </c>
      <c r="I7" s="44" t="s">
        <v>21</v>
      </c>
      <c r="J7" s="21">
        <v>0</v>
      </c>
      <c r="K7" s="18">
        <f t="shared" si="2"/>
        <v>75</v>
      </c>
      <c r="L7" s="45" t="s">
        <v>21</v>
      </c>
      <c r="M7" s="21">
        <v>0</v>
      </c>
      <c r="N7" s="42">
        <f t="shared" si="3"/>
        <v>75</v>
      </c>
      <c r="O7" s="25" t="s">
        <v>21</v>
      </c>
      <c r="P7" s="51">
        <v>0</v>
      </c>
      <c r="Q7" s="42">
        <f t="shared" si="4"/>
        <v>75</v>
      </c>
      <c r="R7" s="35">
        <v>0</v>
      </c>
      <c r="S7" s="28">
        <v>0</v>
      </c>
      <c r="T7"/>
      <c r="U7"/>
      <c r="V7"/>
    </row>
    <row r="8" spans="1:22" ht="15.75" thickBot="1" x14ac:dyDescent="0.3">
      <c r="A8" s="181"/>
      <c r="B8" s="11" t="s">
        <v>9</v>
      </c>
      <c r="C8" s="4">
        <v>100</v>
      </c>
      <c r="D8" s="4">
        <v>100</v>
      </c>
      <c r="E8" s="20">
        <f t="shared" si="0"/>
        <v>100</v>
      </c>
      <c r="F8" s="48">
        <v>6</v>
      </c>
      <c r="G8" s="4">
        <v>6</v>
      </c>
      <c r="H8" s="20">
        <f t="shared" si="1"/>
        <v>100</v>
      </c>
      <c r="I8" s="21" t="s">
        <v>21</v>
      </c>
      <c r="J8" s="21" t="s">
        <v>21</v>
      </c>
      <c r="K8" s="20">
        <f t="shared" si="2"/>
        <v>100</v>
      </c>
      <c r="L8" s="29" t="s">
        <v>21</v>
      </c>
      <c r="M8" s="30" t="s">
        <v>21</v>
      </c>
      <c r="N8" s="43">
        <f t="shared" si="3"/>
        <v>100</v>
      </c>
      <c r="O8" s="29" t="s">
        <v>21</v>
      </c>
      <c r="P8" s="52" t="s">
        <v>21</v>
      </c>
      <c r="Q8" s="43">
        <f t="shared" si="4"/>
        <v>100</v>
      </c>
      <c r="R8" s="163">
        <v>0</v>
      </c>
      <c r="S8" s="164">
        <v>0</v>
      </c>
      <c r="T8"/>
      <c r="U8"/>
      <c r="V8"/>
    </row>
    <row r="9" spans="1:22" x14ac:dyDescent="0.25">
      <c r="A9" s="178" t="s">
        <v>31</v>
      </c>
      <c r="B9" s="9" t="s">
        <v>10</v>
      </c>
      <c r="C9" s="5">
        <v>66.67</v>
      </c>
      <c r="D9" s="5">
        <v>100</v>
      </c>
      <c r="E9" s="19">
        <f t="shared" si="0"/>
        <v>83.335000000000008</v>
      </c>
      <c r="F9" s="5">
        <v>4</v>
      </c>
      <c r="G9" s="5">
        <v>4</v>
      </c>
      <c r="H9" s="19">
        <f t="shared" si="1"/>
        <v>66.666666666666671</v>
      </c>
      <c r="I9" s="36">
        <v>0</v>
      </c>
      <c r="J9" s="5">
        <v>2</v>
      </c>
      <c r="K9" s="19">
        <f t="shared" si="2"/>
        <v>83.333333333333343</v>
      </c>
      <c r="L9" s="36">
        <v>0</v>
      </c>
      <c r="M9" s="23" t="s">
        <v>21</v>
      </c>
      <c r="N9" s="19">
        <f t="shared" si="3"/>
        <v>83.333333333333343</v>
      </c>
      <c r="O9" s="25">
        <v>0</v>
      </c>
      <c r="P9" s="21" t="s">
        <v>21</v>
      </c>
      <c r="Q9" s="38">
        <f t="shared" si="4"/>
        <v>83.333333333333343</v>
      </c>
      <c r="R9" s="22">
        <v>0</v>
      </c>
      <c r="S9" s="24">
        <v>0</v>
      </c>
      <c r="T9"/>
      <c r="U9"/>
      <c r="V9"/>
    </row>
    <row r="10" spans="1:22" x14ac:dyDescent="0.25">
      <c r="A10" s="179"/>
      <c r="B10" s="9" t="s">
        <v>22</v>
      </c>
      <c r="C10" s="3">
        <v>100</v>
      </c>
      <c r="D10" s="3">
        <v>100</v>
      </c>
      <c r="E10" s="18">
        <f t="shared" si="0"/>
        <v>100</v>
      </c>
      <c r="F10" s="3">
        <v>6</v>
      </c>
      <c r="G10" s="3">
        <v>6</v>
      </c>
      <c r="H10" s="18">
        <f t="shared" si="1"/>
        <v>100</v>
      </c>
      <c r="I10" s="21" t="s">
        <v>21</v>
      </c>
      <c r="J10" s="21" t="s">
        <v>21</v>
      </c>
      <c r="K10" s="18">
        <f t="shared" si="2"/>
        <v>100</v>
      </c>
      <c r="L10" s="21" t="s">
        <v>21</v>
      </c>
      <c r="M10" s="21" t="s">
        <v>21</v>
      </c>
      <c r="N10" s="18">
        <f t="shared" si="3"/>
        <v>100</v>
      </c>
      <c r="O10" s="21" t="s">
        <v>21</v>
      </c>
      <c r="P10" s="21" t="s">
        <v>21</v>
      </c>
      <c r="Q10" s="42">
        <f t="shared" si="4"/>
        <v>100</v>
      </c>
      <c r="R10" s="35">
        <v>0</v>
      </c>
      <c r="S10" s="28">
        <v>0</v>
      </c>
      <c r="T10"/>
      <c r="U10"/>
      <c r="V10"/>
    </row>
    <row r="11" spans="1:22" x14ac:dyDescent="0.25">
      <c r="A11" s="179"/>
      <c r="B11" s="9" t="s">
        <v>11</v>
      </c>
      <c r="C11" s="3">
        <v>0</v>
      </c>
      <c r="D11" s="3">
        <v>83.33</v>
      </c>
      <c r="E11" s="18">
        <f t="shared" si="0"/>
        <v>41.664999999999999</v>
      </c>
      <c r="F11" s="3">
        <v>0</v>
      </c>
      <c r="G11" s="21">
        <v>5</v>
      </c>
      <c r="H11" s="18">
        <f t="shared" si="1"/>
        <v>41.666666666666664</v>
      </c>
      <c r="I11" s="34">
        <v>0</v>
      </c>
      <c r="J11" s="21">
        <v>0</v>
      </c>
      <c r="K11" s="18">
        <f t="shared" si="2"/>
        <v>41.666666666666664</v>
      </c>
      <c r="L11" s="34">
        <v>0</v>
      </c>
      <c r="M11" s="21">
        <v>0</v>
      </c>
      <c r="N11" s="18">
        <f t="shared" si="3"/>
        <v>41.666666666666664</v>
      </c>
      <c r="O11" s="34">
        <v>0</v>
      </c>
      <c r="P11" s="21">
        <v>0</v>
      </c>
      <c r="Q11" s="42">
        <f t="shared" si="4"/>
        <v>41.666666666666664</v>
      </c>
      <c r="R11" s="35">
        <v>0</v>
      </c>
      <c r="S11" s="28">
        <v>0</v>
      </c>
      <c r="T11"/>
      <c r="U11"/>
      <c r="V11"/>
    </row>
    <row r="12" spans="1:22" x14ac:dyDescent="0.25">
      <c r="A12" s="180"/>
      <c r="B12" s="10" t="s">
        <v>8</v>
      </c>
      <c r="C12" s="2">
        <v>66.67</v>
      </c>
      <c r="D12" s="2">
        <v>100</v>
      </c>
      <c r="E12" s="18">
        <f t="shared" si="0"/>
        <v>83.335000000000008</v>
      </c>
      <c r="F12" s="2">
        <v>4</v>
      </c>
      <c r="G12" s="2">
        <v>6</v>
      </c>
      <c r="H12" s="18">
        <f t="shared" si="1"/>
        <v>83.333333333333329</v>
      </c>
      <c r="I12" s="35">
        <v>0</v>
      </c>
      <c r="J12" s="21" t="s">
        <v>21</v>
      </c>
      <c r="K12" s="18">
        <f t="shared" si="2"/>
        <v>83.333333333333329</v>
      </c>
      <c r="L12" s="25">
        <v>0</v>
      </c>
      <c r="M12" s="21" t="s">
        <v>21</v>
      </c>
      <c r="N12" s="18">
        <f t="shared" si="3"/>
        <v>83.333333333333329</v>
      </c>
      <c r="O12" s="25">
        <v>0</v>
      </c>
      <c r="P12" s="21" t="s">
        <v>21</v>
      </c>
      <c r="Q12" s="42">
        <f t="shared" si="4"/>
        <v>83.333333333333329</v>
      </c>
      <c r="R12" s="35">
        <v>0</v>
      </c>
      <c r="S12" s="28">
        <v>0</v>
      </c>
      <c r="T12"/>
      <c r="U12"/>
      <c r="V12"/>
    </row>
    <row r="13" spans="1:22" ht="15.75" thickBot="1" x14ac:dyDescent="0.3">
      <c r="A13" s="181"/>
      <c r="B13" s="11" t="s">
        <v>9</v>
      </c>
      <c r="C13" s="4">
        <v>100</v>
      </c>
      <c r="D13" s="4">
        <v>100</v>
      </c>
      <c r="E13" s="20">
        <f t="shared" si="0"/>
        <v>100</v>
      </c>
      <c r="F13" s="4">
        <v>6</v>
      </c>
      <c r="G13" s="4">
        <v>6</v>
      </c>
      <c r="H13" s="20">
        <f t="shared" si="1"/>
        <v>100</v>
      </c>
      <c r="I13" s="21" t="s">
        <v>21</v>
      </c>
      <c r="J13" s="21" t="s">
        <v>21</v>
      </c>
      <c r="K13" s="20">
        <f t="shared" si="2"/>
        <v>100</v>
      </c>
      <c r="L13" s="29" t="s">
        <v>21</v>
      </c>
      <c r="M13" s="30" t="s">
        <v>21</v>
      </c>
      <c r="N13" s="20">
        <f t="shared" si="3"/>
        <v>100</v>
      </c>
      <c r="O13" s="29" t="s">
        <v>21</v>
      </c>
      <c r="P13" s="30" t="s">
        <v>21</v>
      </c>
      <c r="Q13" s="43">
        <f t="shared" si="4"/>
        <v>100</v>
      </c>
      <c r="R13" s="163">
        <v>0</v>
      </c>
      <c r="S13" s="164">
        <v>0</v>
      </c>
      <c r="T13"/>
      <c r="U13"/>
      <c r="V13"/>
    </row>
    <row r="14" spans="1:22" x14ac:dyDescent="0.25">
      <c r="A14" s="178" t="s">
        <v>32</v>
      </c>
      <c r="B14" s="9" t="s">
        <v>10</v>
      </c>
      <c r="C14" s="5">
        <v>100</v>
      </c>
      <c r="D14" s="5">
        <v>83.33</v>
      </c>
      <c r="E14" s="19">
        <f t="shared" si="0"/>
        <v>91.664999999999992</v>
      </c>
      <c r="F14" s="5">
        <v>5</v>
      </c>
      <c r="G14" s="5">
        <v>5</v>
      </c>
      <c r="H14" s="19">
        <f t="shared" si="1"/>
        <v>83.333333333333329</v>
      </c>
      <c r="I14" s="22">
        <v>1</v>
      </c>
      <c r="J14" s="23">
        <v>0</v>
      </c>
      <c r="K14" s="19">
        <f t="shared" si="2"/>
        <v>91.666666666666657</v>
      </c>
      <c r="L14" s="21" t="s">
        <v>21</v>
      </c>
      <c r="M14" s="21">
        <v>0</v>
      </c>
      <c r="N14" s="19">
        <f t="shared" si="3"/>
        <v>91.666666666666657</v>
      </c>
      <c r="O14" s="21" t="s">
        <v>21</v>
      </c>
      <c r="P14" s="21">
        <v>0</v>
      </c>
      <c r="Q14" s="38">
        <f t="shared" si="4"/>
        <v>91.666666666666657</v>
      </c>
      <c r="R14" s="22">
        <v>0</v>
      </c>
      <c r="S14" s="24">
        <f>3+1</f>
        <v>4</v>
      </c>
      <c r="T14"/>
      <c r="U14"/>
      <c r="V14"/>
    </row>
    <row r="15" spans="1:22" x14ac:dyDescent="0.25">
      <c r="A15" s="179"/>
      <c r="B15" s="9" t="s">
        <v>22</v>
      </c>
      <c r="C15" s="3">
        <v>100</v>
      </c>
      <c r="D15" s="3">
        <v>100</v>
      </c>
      <c r="E15" s="18">
        <f t="shared" si="0"/>
        <v>100</v>
      </c>
      <c r="F15" s="3">
        <v>6</v>
      </c>
      <c r="G15" s="3">
        <v>6</v>
      </c>
      <c r="H15" s="18">
        <f t="shared" si="1"/>
        <v>100</v>
      </c>
      <c r="I15" s="21" t="s">
        <v>21</v>
      </c>
      <c r="J15" s="21" t="s">
        <v>21</v>
      </c>
      <c r="K15" s="18">
        <f t="shared" si="2"/>
        <v>100</v>
      </c>
      <c r="L15" s="21" t="s">
        <v>21</v>
      </c>
      <c r="M15" s="21" t="s">
        <v>21</v>
      </c>
      <c r="N15" s="18">
        <f t="shared" si="3"/>
        <v>100</v>
      </c>
      <c r="O15" s="21" t="s">
        <v>21</v>
      </c>
      <c r="P15" s="21" t="s">
        <v>21</v>
      </c>
      <c r="Q15" s="42">
        <f t="shared" si="4"/>
        <v>100</v>
      </c>
      <c r="R15" s="35">
        <v>0</v>
      </c>
      <c r="S15" s="28">
        <v>0</v>
      </c>
      <c r="T15"/>
      <c r="U15"/>
      <c r="V15"/>
    </row>
    <row r="16" spans="1:22" x14ac:dyDescent="0.25">
      <c r="A16" s="179"/>
      <c r="B16" s="9" t="s">
        <v>11</v>
      </c>
      <c r="C16" s="3">
        <v>0</v>
      </c>
      <c r="D16" s="3">
        <v>50</v>
      </c>
      <c r="E16" s="18">
        <f t="shared" si="0"/>
        <v>25</v>
      </c>
      <c r="F16" s="3">
        <v>0</v>
      </c>
      <c r="G16" s="3">
        <v>3</v>
      </c>
      <c r="H16" s="18">
        <f t="shared" si="1"/>
        <v>25</v>
      </c>
      <c r="I16" s="34">
        <v>0</v>
      </c>
      <c r="J16" s="21">
        <v>0</v>
      </c>
      <c r="K16" s="18">
        <f t="shared" si="2"/>
        <v>25</v>
      </c>
      <c r="L16" s="3">
        <v>0</v>
      </c>
      <c r="M16" s="21">
        <v>0</v>
      </c>
      <c r="N16" s="18">
        <f t="shared" si="3"/>
        <v>25</v>
      </c>
      <c r="O16" s="21">
        <v>0</v>
      </c>
      <c r="P16" s="21">
        <v>0</v>
      </c>
      <c r="Q16" s="42">
        <f t="shared" si="4"/>
        <v>25</v>
      </c>
      <c r="R16" s="35">
        <v>0</v>
      </c>
      <c r="S16" s="28">
        <v>0</v>
      </c>
      <c r="T16"/>
      <c r="U16"/>
      <c r="V16"/>
    </row>
    <row r="17" spans="1:23" x14ac:dyDescent="0.25">
      <c r="A17" s="180"/>
      <c r="B17" s="10" t="s">
        <v>8</v>
      </c>
      <c r="C17" s="2">
        <v>83.33</v>
      </c>
      <c r="D17" s="2">
        <v>83.33</v>
      </c>
      <c r="E17" s="18">
        <f t="shared" si="0"/>
        <v>83.33</v>
      </c>
      <c r="F17" s="2">
        <v>5</v>
      </c>
      <c r="G17" s="2">
        <v>5</v>
      </c>
      <c r="H17" s="18">
        <f t="shared" si="1"/>
        <v>83.333333333333329</v>
      </c>
      <c r="I17" s="35">
        <v>0</v>
      </c>
      <c r="J17" s="44">
        <v>0</v>
      </c>
      <c r="K17" s="18">
        <f t="shared" si="2"/>
        <v>83.333333333333329</v>
      </c>
      <c r="L17" s="21">
        <v>0</v>
      </c>
      <c r="M17" s="44">
        <v>0</v>
      </c>
      <c r="N17" s="18">
        <f t="shared" si="3"/>
        <v>83.333333333333329</v>
      </c>
      <c r="O17" s="21">
        <v>0</v>
      </c>
      <c r="P17" s="21">
        <v>0</v>
      </c>
      <c r="Q17" s="42">
        <f t="shared" si="4"/>
        <v>83.333333333333329</v>
      </c>
      <c r="R17" s="35">
        <v>0</v>
      </c>
      <c r="S17" s="28">
        <v>0</v>
      </c>
      <c r="T17"/>
      <c r="U17"/>
      <c r="V17"/>
    </row>
    <row r="18" spans="1:23" ht="15.75" thickBot="1" x14ac:dyDescent="0.3">
      <c r="A18" s="181"/>
      <c r="B18" s="11" t="s">
        <v>9</v>
      </c>
      <c r="C18" s="4">
        <v>100</v>
      </c>
      <c r="D18" s="4">
        <v>100</v>
      </c>
      <c r="E18" s="20">
        <f t="shared" si="0"/>
        <v>100</v>
      </c>
      <c r="F18" s="4">
        <v>6</v>
      </c>
      <c r="G18" s="4">
        <v>6</v>
      </c>
      <c r="H18" s="20">
        <f t="shared" si="1"/>
        <v>100</v>
      </c>
      <c r="I18" s="21" t="s">
        <v>21</v>
      </c>
      <c r="J18" s="21" t="s">
        <v>21</v>
      </c>
      <c r="K18" s="20">
        <f t="shared" si="2"/>
        <v>100</v>
      </c>
      <c r="L18" s="21" t="s">
        <v>21</v>
      </c>
      <c r="M18" s="21" t="s">
        <v>21</v>
      </c>
      <c r="N18" s="20">
        <f t="shared" si="3"/>
        <v>100</v>
      </c>
      <c r="O18" s="32" t="s">
        <v>21</v>
      </c>
      <c r="P18" s="32" t="s">
        <v>21</v>
      </c>
      <c r="Q18" s="43">
        <f t="shared" si="4"/>
        <v>100</v>
      </c>
      <c r="R18" s="163">
        <v>0</v>
      </c>
      <c r="S18" s="164">
        <v>0</v>
      </c>
      <c r="T18"/>
      <c r="U18"/>
      <c r="V18"/>
    </row>
    <row r="19" spans="1:23" x14ac:dyDescent="0.25">
      <c r="A19" s="178" t="s">
        <v>33</v>
      </c>
      <c r="B19" s="9" t="s">
        <v>10</v>
      </c>
      <c r="C19" s="5">
        <v>66.67</v>
      </c>
      <c r="D19" s="5">
        <v>100</v>
      </c>
      <c r="E19" s="19">
        <f t="shared" si="0"/>
        <v>83.335000000000008</v>
      </c>
      <c r="F19" s="5">
        <v>4</v>
      </c>
      <c r="G19" s="5">
        <v>5</v>
      </c>
      <c r="H19" s="19">
        <f t="shared" si="1"/>
        <v>75</v>
      </c>
      <c r="I19" s="5">
        <v>0</v>
      </c>
      <c r="J19" s="5">
        <v>1</v>
      </c>
      <c r="K19" s="19">
        <f t="shared" si="2"/>
        <v>83.333333333333329</v>
      </c>
      <c r="L19" s="5">
        <v>0</v>
      </c>
      <c r="M19" s="23" t="s">
        <v>21</v>
      </c>
      <c r="N19" s="19">
        <f t="shared" si="3"/>
        <v>83.333333333333329</v>
      </c>
      <c r="O19" s="22">
        <v>0</v>
      </c>
      <c r="P19" s="23" t="s">
        <v>21</v>
      </c>
      <c r="Q19" s="38">
        <f t="shared" si="4"/>
        <v>83.333333333333329</v>
      </c>
      <c r="R19" s="22">
        <v>0</v>
      </c>
      <c r="S19" s="24">
        <v>3</v>
      </c>
      <c r="T19"/>
      <c r="U19"/>
      <c r="V19"/>
    </row>
    <row r="20" spans="1:23" x14ac:dyDescent="0.25">
      <c r="A20" s="179"/>
      <c r="B20" s="9" t="s">
        <v>22</v>
      </c>
      <c r="C20" s="3">
        <v>100</v>
      </c>
      <c r="D20" s="3">
        <v>100</v>
      </c>
      <c r="E20" s="18">
        <f t="shared" si="0"/>
        <v>100</v>
      </c>
      <c r="F20" s="3">
        <v>6</v>
      </c>
      <c r="G20" s="3">
        <v>6</v>
      </c>
      <c r="H20" s="18">
        <f t="shared" si="1"/>
        <v>100</v>
      </c>
      <c r="I20" s="21" t="s">
        <v>21</v>
      </c>
      <c r="J20" s="21" t="s">
        <v>21</v>
      </c>
      <c r="K20" s="18">
        <f t="shared" si="2"/>
        <v>100</v>
      </c>
      <c r="L20" s="21" t="s">
        <v>21</v>
      </c>
      <c r="M20" s="21" t="s">
        <v>21</v>
      </c>
      <c r="N20" s="18">
        <f t="shared" si="3"/>
        <v>100</v>
      </c>
      <c r="O20" s="25" t="s">
        <v>21</v>
      </c>
      <c r="P20" s="21" t="s">
        <v>21</v>
      </c>
      <c r="Q20" s="42">
        <f t="shared" si="4"/>
        <v>100</v>
      </c>
      <c r="R20" s="35">
        <v>0</v>
      </c>
      <c r="S20" s="28">
        <v>0</v>
      </c>
      <c r="T20"/>
      <c r="U20"/>
      <c r="V20"/>
    </row>
    <row r="21" spans="1:23" x14ac:dyDescent="0.25">
      <c r="A21" s="179"/>
      <c r="B21" s="9" t="s">
        <v>11</v>
      </c>
      <c r="C21" s="3">
        <v>0</v>
      </c>
      <c r="D21" s="3">
        <v>83.33</v>
      </c>
      <c r="E21" s="18">
        <f t="shared" si="0"/>
        <v>41.664999999999999</v>
      </c>
      <c r="F21" s="3">
        <v>0</v>
      </c>
      <c r="G21" s="3">
        <v>5</v>
      </c>
      <c r="H21" s="18">
        <f t="shared" si="1"/>
        <v>41.666666666666664</v>
      </c>
      <c r="I21" s="3">
        <v>0</v>
      </c>
      <c r="J21" s="21">
        <v>0</v>
      </c>
      <c r="K21" s="18">
        <f t="shared" si="2"/>
        <v>41.666666666666664</v>
      </c>
      <c r="L21" s="21">
        <v>0</v>
      </c>
      <c r="M21" s="21">
        <v>0</v>
      </c>
      <c r="N21" s="18">
        <f t="shared" si="3"/>
        <v>41.666666666666664</v>
      </c>
      <c r="O21" s="25">
        <v>0</v>
      </c>
      <c r="P21" s="21">
        <v>0</v>
      </c>
      <c r="Q21" s="42">
        <f t="shared" si="4"/>
        <v>41.666666666666664</v>
      </c>
      <c r="R21" s="35">
        <v>0</v>
      </c>
      <c r="S21" s="28">
        <v>0</v>
      </c>
      <c r="T21"/>
      <c r="U21"/>
      <c r="V21"/>
    </row>
    <row r="22" spans="1:23" x14ac:dyDescent="0.25">
      <c r="A22" s="180"/>
      <c r="B22" s="10" t="s">
        <v>8</v>
      </c>
      <c r="C22" s="2">
        <v>50</v>
      </c>
      <c r="D22" s="2">
        <v>66.67</v>
      </c>
      <c r="E22" s="18">
        <f t="shared" si="0"/>
        <v>58.335000000000001</v>
      </c>
      <c r="F22" s="2">
        <v>3</v>
      </c>
      <c r="G22" s="2">
        <v>4</v>
      </c>
      <c r="H22" s="18">
        <f t="shared" si="1"/>
        <v>58.333333333333336</v>
      </c>
      <c r="I22" s="44">
        <v>0</v>
      </c>
      <c r="J22" s="21">
        <v>0</v>
      </c>
      <c r="K22" s="18">
        <f t="shared" si="2"/>
        <v>58.333333333333336</v>
      </c>
      <c r="L22" s="2">
        <v>0</v>
      </c>
      <c r="M22" s="21">
        <v>0</v>
      </c>
      <c r="N22" s="18">
        <f t="shared" si="3"/>
        <v>58.333333333333336</v>
      </c>
      <c r="O22" s="45">
        <v>0</v>
      </c>
      <c r="P22" s="21">
        <v>0</v>
      </c>
      <c r="Q22" s="42">
        <f t="shared" si="4"/>
        <v>58.333333333333336</v>
      </c>
      <c r="R22" s="35">
        <v>0</v>
      </c>
      <c r="S22" s="28">
        <v>0</v>
      </c>
      <c r="T22"/>
      <c r="U22"/>
      <c r="V22"/>
    </row>
    <row r="23" spans="1:23" ht="15.75" thickBot="1" x14ac:dyDescent="0.3">
      <c r="A23" s="181"/>
      <c r="B23" s="11" t="s">
        <v>9</v>
      </c>
      <c r="C23" s="4">
        <v>100</v>
      </c>
      <c r="D23" s="4">
        <v>100</v>
      </c>
      <c r="E23" s="20">
        <f t="shared" si="0"/>
        <v>100</v>
      </c>
      <c r="F23" s="4">
        <v>6</v>
      </c>
      <c r="G23" s="4">
        <v>6</v>
      </c>
      <c r="H23" s="20">
        <f t="shared" si="1"/>
        <v>100</v>
      </c>
      <c r="I23" s="21" t="s">
        <v>21</v>
      </c>
      <c r="J23" s="21" t="s">
        <v>21</v>
      </c>
      <c r="K23" s="20">
        <f t="shared" si="2"/>
        <v>100</v>
      </c>
      <c r="L23" s="21" t="s">
        <v>21</v>
      </c>
      <c r="M23" s="21" t="s">
        <v>21</v>
      </c>
      <c r="N23" s="20">
        <f t="shared" si="3"/>
        <v>100</v>
      </c>
      <c r="O23" s="29" t="s">
        <v>21</v>
      </c>
      <c r="P23" s="30" t="s">
        <v>21</v>
      </c>
      <c r="Q23" s="43">
        <f t="shared" si="4"/>
        <v>100</v>
      </c>
      <c r="R23" s="163">
        <v>0</v>
      </c>
      <c r="S23" s="164">
        <v>0</v>
      </c>
      <c r="T23"/>
      <c r="U23"/>
      <c r="V23"/>
    </row>
    <row r="24" spans="1:23" x14ac:dyDescent="0.25">
      <c r="A24" s="178" t="s">
        <v>34</v>
      </c>
      <c r="B24" s="47" t="s">
        <v>10</v>
      </c>
      <c r="C24" s="5">
        <v>83.33</v>
      </c>
      <c r="D24" s="5">
        <v>83.33</v>
      </c>
      <c r="E24" s="19">
        <f t="shared" si="0"/>
        <v>83.33</v>
      </c>
      <c r="F24" s="5">
        <v>5</v>
      </c>
      <c r="G24" s="5">
        <v>3</v>
      </c>
      <c r="H24" s="19">
        <f t="shared" si="1"/>
        <v>66.666666666666671</v>
      </c>
      <c r="I24" s="5">
        <v>0</v>
      </c>
      <c r="J24" s="5">
        <v>2</v>
      </c>
      <c r="K24" s="19">
        <f t="shared" si="2"/>
        <v>83.333333333333343</v>
      </c>
      <c r="L24" s="5">
        <v>0</v>
      </c>
      <c r="M24" s="5">
        <v>0</v>
      </c>
      <c r="N24" s="19">
        <f t="shared" si="3"/>
        <v>83.333333333333343</v>
      </c>
      <c r="O24" s="5">
        <v>0</v>
      </c>
      <c r="P24" s="5">
        <v>0</v>
      </c>
      <c r="Q24" s="38">
        <f t="shared" si="4"/>
        <v>83.333333333333343</v>
      </c>
      <c r="R24" s="22">
        <v>1</v>
      </c>
      <c r="S24" s="24">
        <f>3</f>
        <v>3</v>
      </c>
      <c r="T24"/>
      <c r="U24"/>
      <c r="V24"/>
    </row>
    <row r="25" spans="1:23" x14ac:dyDescent="0.25">
      <c r="A25" s="179"/>
      <c r="B25" s="9" t="s">
        <v>22</v>
      </c>
      <c r="C25" s="3">
        <v>100</v>
      </c>
      <c r="D25" s="3">
        <v>100</v>
      </c>
      <c r="E25" s="18">
        <f t="shared" si="0"/>
        <v>100</v>
      </c>
      <c r="F25" s="3">
        <v>6</v>
      </c>
      <c r="G25" s="3">
        <v>4</v>
      </c>
      <c r="H25" s="18">
        <f t="shared" si="1"/>
        <v>83.333333333333329</v>
      </c>
      <c r="I25" s="21" t="s">
        <v>21</v>
      </c>
      <c r="J25" s="21">
        <v>2</v>
      </c>
      <c r="K25" s="18">
        <f t="shared" si="2"/>
        <v>100</v>
      </c>
      <c r="L25" s="21" t="s">
        <v>21</v>
      </c>
      <c r="M25" s="21" t="s">
        <v>21</v>
      </c>
      <c r="N25" s="18">
        <f t="shared" si="3"/>
        <v>100</v>
      </c>
      <c r="O25" s="21" t="s">
        <v>21</v>
      </c>
      <c r="P25" s="21" t="s">
        <v>21</v>
      </c>
      <c r="Q25" s="42">
        <f t="shared" si="4"/>
        <v>100</v>
      </c>
      <c r="R25" s="35">
        <v>0</v>
      </c>
      <c r="S25" s="28">
        <v>0</v>
      </c>
      <c r="T25"/>
      <c r="U25"/>
      <c r="V25"/>
    </row>
    <row r="26" spans="1:23" x14ac:dyDescent="0.25">
      <c r="A26" s="179"/>
      <c r="B26" s="9" t="s">
        <v>11</v>
      </c>
      <c r="C26" s="3">
        <v>0</v>
      </c>
      <c r="D26" s="3">
        <v>50</v>
      </c>
      <c r="E26" s="18">
        <f t="shared" si="0"/>
        <v>25</v>
      </c>
      <c r="F26" s="3">
        <v>0</v>
      </c>
      <c r="G26" s="3">
        <v>3</v>
      </c>
      <c r="H26" s="18">
        <f t="shared" si="1"/>
        <v>25</v>
      </c>
      <c r="I26" s="3">
        <v>0</v>
      </c>
      <c r="J26" s="21">
        <v>0</v>
      </c>
      <c r="K26" s="18">
        <f t="shared" si="2"/>
        <v>25</v>
      </c>
      <c r="L26" s="3">
        <v>0</v>
      </c>
      <c r="M26" s="21">
        <v>0</v>
      </c>
      <c r="N26" s="18">
        <f t="shared" si="3"/>
        <v>25</v>
      </c>
      <c r="O26" s="21">
        <v>0</v>
      </c>
      <c r="P26" s="21">
        <v>0</v>
      </c>
      <c r="Q26" s="42">
        <f t="shared" si="4"/>
        <v>25</v>
      </c>
      <c r="R26" s="35">
        <f>1+4+3</f>
        <v>8</v>
      </c>
      <c r="S26" s="28">
        <f>1</f>
        <v>1</v>
      </c>
      <c r="T26"/>
      <c r="U26"/>
      <c r="V26"/>
    </row>
    <row r="27" spans="1:23" x14ac:dyDescent="0.25">
      <c r="A27" s="180"/>
      <c r="B27" s="10" t="s">
        <v>8</v>
      </c>
      <c r="C27" s="2">
        <v>50</v>
      </c>
      <c r="D27" s="2">
        <v>83.33</v>
      </c>
      <c r="E27" s="18">
        <f t="shared" si="0"/>
        <v>66.664999999999992</v>
      </c>
      <c r="F27" s="2">
        <v>2</v>
      </c>
      <c r="G27" s="2">
        <v>5</v>
      </c>
      <c r="H27" s="18">
        <f t="shared" si="1"/>
        <v>58.333333333333336</v>
      </c>
      <c r="I27" s="2">
        <v>1</v>
      </c>
      <c r="J27" s="2">
        <v>0</v>
      </c>
      <c r="K27" s="18">
        <f t="shared" si="2"/>
        <v>66.666666666666671</v>
      </c>
      <c r="L27" s="2">
        <v>0</v>
      </c>
      <c r="M27" s="44">
        <v>0</v>
      </c>
      <c r="N27" s="18">
        <f t="shared" si="3"/>
        <v>66.666666666666671</v>
      </c>
      <c r="O27" s="44">
        <v>0</v>
      </c>
      <c r="P27" s="44">
        <v>0</v>
      </c>
      <c r="Q27" s="42">
        <f t="shared" si="4"/>
        <v>66.666666666666671</v>
      </c>
      <c r="R27" s="35">
        <v>0</v>
      </c>
      <c r="S27" s="28">
        <v>0</v>
      </c>
      <c r="T27"/>
      <c r="U27"/>
      <c r="V27"/>
    </row>
    <row r="28" spans="1:23" ht="15.75" thickBot="1" x14ac:dyDescent="0.3">
      <c r="A28" s="181"/>
      <c r="B28" s="11" t="s">
        <v>9</v>
      </c>
      <c r="C28" s="37">
        <v>100</v>
      </c>
      <c r="D28" s="37">
        <v>100</v>
      </c>
      <c r="E28" s="54">
        <f t="shared" si="0"/>
        <v>100</v>
      </c>
      <c r="F28" s="37">
        <v>6</v>
      </c>
      <c r="G28" s="37">
        <v>4</v>
      </c>
      <c r="H28" s="54">
        <f t="shared" si="1"/>
        <v>83.333333333333329</v>
      </c>
      <c r="I28" s="32" t="s">
        <v>21</v>
      </c>
      <c r="J28" s="32">
        <v>2</v>
      </c>
      <c r="K28" s="54">
        <f t="shared" si="2"/>
        <v>100</v>
      </c>
      <c r="L28" s="32" t="s">
        <v>21</v>
      </c>
      <c r="M28" s="32" t="s">
        <v>21</v>
      </c>
      <c r="N28" s="54">
        <f t="shared" si="3"/>
        <v>100</v>
      </c>
      <c r="O28" s="32" t="s">
        <v>21</v>
      </c>
      <c r="P28" s="32" t="s">
        <v>21</v>
      </c>
      <c r="Q28" s="162">
        <f t="shared" si="4"/>
        <v>100</v>
      </c>
      <c r="R28" s="163">
        <v>0</v>
      </c>
      <c r="S28" s="164">
        <v>0</v>
      </c>
      <c r="T28"/>
      <c r="U28"/>
      <c r="V28"/>
    </row>
    <row r="29" spans="1:23" x14ac:dyDescent="0.25">
      <c r="A29" s="171" t="s">
        <v>41</v>
      </c>
      <c r="B29" s="104" t="s">
        <v>10</v>
      </c>
      <c r="C29" s="79">
        <f>(C4+C9+C14+C19+C24)/5</f>
        <v>80</v>
      </c>
      <c r="D29" s="70">
        <f>(D4+D9+D14+D19+D24)/5</f>
        <v>89.99799999999999</v>
      </c>
      <c r="E29" s="108">
        <f>ROUNDUP((C29+D29)/2,1)</f>
        <v>85</v>
      </c>
      <c r="F29" s="79">
        <f>100*(F4+F9+F14+F19+F24)/30</f>
        <v>76.666666666666671</v>
      </c>
      <c r="G29" s="111">
        <f>100*(G4+G9+G14+G19+G24)/30</f>
        <v>66.666666666666671</v>
      </c>
      <c r="H29" s="108">
        <f>ROUNDUP((F29+G29)/2,1)</f>
        <v>71.699999999999989</v>
      </c>
      <c r="I29" s="94">
        <f>100*(F4+IF(I4="--",0,I4)+F9+IF(I9="--",0,I9)+F14+IF(I14="--",0,I14)+F19+IF(I19="--",0,I19)+F24+IF(I24="--",0,I24))/30</f>
        <v>80</v>
      </c>
      <c r="J29" s="96">
        <f>100*(G4+IF(J4="--",0,J4)+G9+IF(J9="--",0,J9)+G14+IF(J14="--",0,J14)+G19+IF(J19="--",0,J19)+G24+IF(J24="--",0,J24))/30</f>
        <v>90</v>
      </c>
      <c r="K29" s="108">
        <f>ROUNDUP((I29+J29)/2,1)</f>
        <v>85</v>
      </c>
      <c r="L29" s="94">
        <f>100*(F4+IF(I4="--",0,I4)+IF(L4="--",0,L4)+F9+IF(I9="--",0,I9)+IF(L9="--",0,L9)+F14+IF(I14="--",0,I14)+IF(L14="--",0,L14)+F19+IF(I19="--",0,I19)+IF(L19="--",0,L19)+F24+IF(I24="--",0,I24)+IF(L24="--",0,L24))/30</f>
        <v>80</v>
      </c>
      <c r="M29" s="111">
        <f>100*(G4+IF(J4="--",0,J4)+IF(M4="--",0,M4)+G9+IF(J9="--",0,J9)+IF(M9="--",0,M9)+G14+IF(J14="--",0,J14)+IF(M14="--",0,M14)+G19+IF(J19="--",0,J19)+IF(M19="--",0,M19)+G24+IF(J24="--",0,J24)+IF(M24="--",0,M24))/30</f>
        <v>90</v>
      </c>
      <c r="N29" s="108">
        <f>ROUNDUP((L29+M29)/2,1)</f>
        <v>85</v>
      </c>
      <c r="O29" s="94">
        <f>100*(F4+IF(I4="--",0,I4)+IF(L4="--",0,L4)+IF(O4="--",0,O4)+F9+IF(I9="--",0,I9)+IF(L9="--",0,L9)+IF(O9="--",0,O9)+F14+IF(I14="--",0,I14)+IF(L14="--",0,L14)+IF(O14="--",0,O14)+F19+IF(I19="--",0,I19)+IF(L19="--",0,L19)+IF(O19="--",0,O19)+F24+IF(I24="--",0,I24)+IF(L24="--",0,L24)+IF(O24="--",0,O24))/30</f>
        <v>80</v>
      </c>
      <c r="P29" s="111">
        <f>100*(G4+IF(J4="--",0,J4)+IF(M4="--",0,M4)+IF(P4="--",0,P4)+G9+IF(J9="--",0,J9)+IF(M9="--",0,M9)+IF(P9="--",0,P9)+G14+IF(J14="--",0,J14)+IF(M14="--",0,M14)+IF(P14="--",0,P14)+G19+IF(J19="--",0,J19)+IF(M19="--",0,M19)+IF(P19="--",0,P19)+G24+IF(J24="--",0,J24)+IF(M24="--",0,M24)+IF(P24="--",0,P24))/30</f>
        <v>90</v>
      </c>
      <c r="Q29" s="108">
        <f>ROUNDUP((O29+P29)/2,1)</f>
        <v>85</v>
      </c>
      <c r="T29"/>
      <c r="U29"/>
      <c r="V29"/>
    </row>
    <row r="30" spans="1:23" x14ac:dyDescent="0.25">
      <c r="A30" s="172"/>
      <c r="B30" s="105" t="s">
        <v>22</v>
      </c>
      <c r="C30" s="81">
        <f t="shared" ref="C30:D33" si="5">(C5+C10+C15+C20+C25)/5</f>
        <v>100</v>
      </c>
      <c r="D30" s="73">
        <f t="shared" si="5"/>
        <v>100</v>
      </c>
      <c r="E30" s="109">
        <f t="shared" ref="E30:E33" si="6">ROUNDUP((C30+D30)/2,1)</f>
        <v>100</v>
      </c>
      <c r="F30" s="81">
        <f t="shared" ref="F30:G33" si="7">100*(F5+F10+F15+F20+F25)/30</f>
        <v>100</v>
      </c>
      <c r="G30" s="112">
        <f t="shared" si="7"/>
        <v>93.333333333333329</v>
      </c>
      <c r="H30" s="109">
        <f t="shared" ref="H30:H33" si="8">ROUNDUP((F30+G30)/2,1)</f>
        <v>96.699999999999989</v>
      </c>
      <c r="I30" s="97">
        <f t="shared" ref="I30:I33" si="9">100*(F5+IF(I5="--",0,I5)+F10+IF(I10="--",0,I10)+F15+IF(I15="--",0,I15)+F20+IF(I20="--",0,I20)+F25+IF(I25="--",0,I25))/30</f>
        <v>100</v>
      </c>
      <c r="J30" s="99">
        <f t="shared" ref="J30:J33" si="10">100*(G5+IF(J5="--",0,J5)+G10+IF(J10="--",0,J10)+G15+IF(J15="--",0,J15)+G20+IF(J20="--",0,J20)+G25+IF(J25="--",0,J25))/30</f>
        <v>100</v>
      </c>
      <c r="K30" s="109">
        <f t="shared" ref="K30:K33" si="11">ROUNDUP((I30+J30)/2,1)</f>
        <v>100</v>
      </c>
      <c r="L30" s="97">
        <f t="shared" ref="L30:L33" si="12">100*(F5+IF(I5="--",0,I5)+IF(L5="--",0,L5)+F10+IF(I10="--",0,I10)+IF(L10="--",0,L10)+F15+IF(I15="--",0,I15)+IF(L15="--",0,L15)+F20+IF(I20="--",0,I20)+IF(L20="--",0,L20)+F25+IF(I25="--",0,I25)+IF(L25="--",0,L25))/30</f>
        <v>100</v>
      </c>
      <c r="M30" s="112">
        <f t="shared" ref="M30:M33" si="13">100*(G5+IF(J5="--",0,J5)+IF(M5="--",0,M5)+G10+IF(J10="--",0,J10)+IF(M10="--",0,M10)+G15+IF(J15="--",0,J15)+IF(M15="--",0,M15)+G20+IF(J20="--",0,J20)+IF(M20="--",0,M20)+G25+IF(J25="--",0,J25)+IF(M25="--",0,M25))/30</f>
        <v>100</v>
      </c>
      <c r="N30" s="109">
        <f t="shared" ref="N30:N33" si="14">ROUNDUP((L30+M30)/2,1)</f>
        <v>100</v>
      </c>
      <c r="O30" s="97">
        <f t="shared" ref="O30:O33" si="15">100*(F5+IF(I5="--",0,I5)+IF(L5="--",0,L5)+IF(O5="--",0,O5)+F10+IF(I10="--",0,I10)+IF(L10="--",0,L10)+IF(O10="--",0,O10)+F15+IF(I15="--",0,I15)+IF(L15="--",0,L15)+IF(O15="--",0,O15)+F20+IF(I20="--",0,I20)+IF(L20="--",0,L20)+IF(O20="--",0,O20)+F25+IF(I25="--",0,I25)+IF(L25="--",0,L25)+IF(O25="--",0,O25))/30</f>
        <v>100</v>
      </c>
      <c r="P30" s="112">
        <f t="shared" ref="P30:P33" si="16">100*(G5+IF(J5="--",0,J5)+IF(M5="--",0,M5)+IF(P5="--",0,P5)+G10+IF(J10="--",0,J10)+IF(M10="--",0,M10)+IF(P10="--",0,P10)+G15+IF(J15="--",0,J15)+IF(M15="--",0,M15)+IF(P15="--",0,P15)+G20+IF(J20="--",0,J20)+IF(M20="--",0,M20)+IF(P20="--",0,P20)+G25+IF(J25="--",0,J25)+IF(M25="--",0,M25)+IF(P25="--",0,P25))/30</f>
        <v>100</v>
      </c>
      <c r="Q30" s="109">
        <f t="shared" ref="Q30:Q33" si="17">ROUNDUP((O30+P30)/2,1)</f>
        <v>100</v>
      </c>
      <c r="T30"/>
      <c r="U30"/>
      <c r="V30"/>
    </row>
    <row r="31" spans="1:23" x14ac:dyDescent="0.25">
      <c r="A31" s="172"/>
      <c r="B31" s="105" t="s">
        <v>11</v>
      </c>
      <c r="C31" s="81">
        <f t="shared" si="5"/>
        <v>10</v>
      </c>
      <c r="D31" s="73">
        <f t="shared" si="5"/>
        <v>59.998000000000005</v>
      </c>
      <c r="E31" s="109">
        <f t="shared" si="6"/>
        <v>35</v>
      </c>
      <c r="F31" s="81">
        <f t="shared" si="7"/>
        <v>6.666666666666667</v>
      </c>
      <c r="G31" s="112">
        <f t="shared" si="7"/>
        <v>60</v>
      </c>
      <c r="H31" s="109">
        <f t="shared" si="8"/>
        <v>33.4</v>
      </c>
      <c r="I31" s="97">
        <f t="shared" si="9"/>
        <v>10</v>
      </c>
      <c r="J31" s="99">
        <f t="shared" si="10"/>
        <v>60</v>
      </c>
      <c r="K31" s="109">
        <f t="shared" si="11"/>
        <v>35</v>
      </c>
      <c r="L31" s="97">
        <f t="shared" si="12"/>
        <v>10</v>
      </c>
      <c r="M31" s="112">
        <f t="shared" si="13"/>
        <v>60</v>
      </c>
      <c r="N31" s="109">
        <f t="shared" si="14"/>
        <v>35</v>
      </c>
      <c r="O31" s="97">
        <f t="shared" si="15"/>
        <v>10</v>
      </c>
      <c r="P31" s="112">
        <f t="shared" si="16"/>
        <v>60</v>
      </c>
      <c r="Q31" s="109">
        <f t="shared" si="17"/>
        <v>35</v>
      </c>
      <c r="S31" s="168" t="s">
        <v>46</v>
      </c>
      <c r="T31"/>
      <c r="U31"/>
      <c r="V31"/>
      <c r="W31">
        <f>SUM(R4:S28)</f>
        <v>20</v>
      </c>
    </row>
    <row r="32" spans="1:23" x14ac:dyDescent="0.25">
      <c r="A32" s="172"/>
      <c r="B32" s="106" t="s">
        <v>8</v>
      </c>
      <c r="C32" s="81">
        <f t="shared" si="5"/>
        <v>70</v>
      </c>
      <c r="D32" s="73">
        <f t="shared" si="5"/>
        <v>76.665999999999997</v>
      </c>
      <c r="E32" s="109">
        <f t="shared" si="6"/>
        <v>73.399999999999991</v>
      </c>
      <c r="F32" s="81">
        <f t="shared" si="7"/>
        <v>66.666666666666671</v>
      </c>
      <c r="G32" s="112">
        <f t="shared" si="7"/>
        <v>76.666666666666671</v>
      </c>
      <c r="H32" s="109">
        <f t="shared" si="8"/>
        <v>71.699999999999989</v>
      </c>
      <c r="I32" s="97">
        <f t="shared" si="9"/>
        <v>70</v>
      </c>
      <c r="J32" s="99">
        <f t="shared" si="10"/>
        <v>76.666666666666671</v>
      </c>
      <c r="K32" s="109">
        <f t="shared" si="11"/>
        <v>73.399999999999991</v>
      </c>
      <c r="L32" s="97">
        <f t="shared" si="12"/>
        <v>70</v>
      </c>
      <c r="M32" s="112">
        <f t="shared" si="13"/>
        <v>76.666666666666671</v>
      </c>
      <c r="N32" s="109">
        <f t="shared" si="14"/>
        <v>73.399999999999991</v>
      </c>
      <c r="O32" s="97">
        <f t="shared" si="15"/>
        <v>70</v>
      </c>
      <c r="P32" s="112">
        <f t="shared" si="16"/>
        <v>76.666666666666671</v>
      </c>
      <c r="Q32" s="109">
        <f t="shared" si="17"/>
        <v>73.399999999999991</v>
      </c>
      <c r="S32" s="168" t="s">
        <v>47</v>
      </c>
      <c r="T32"/>
      <c r="U32"/>
      <c r="V32"/>
      <c r="W32">
        <v>9</v>
      </c>
    </row>
    <row r="33" spans="1:23" ht="15.75" thickBot="1" x14ac:dyDescent="0.3">
      <c r="A33" s="199"/>
      <c r="B33" s="107" t="s">
        <v>9</v>
      </c>
      <c r="C33" s="83">
        <f t="shared" si="5"/>
        <v>100</v>
      </c>
      <c r="D33" s="76">
        <f t="shared" si="5"/>
        <v>100</v>
      </c>
      <c r="E33" s="110">
        <f t="shared" si="6"/>
        <v>100</v>
      </c>
      <c r="F33" s="83">
        <f t="shared" si="7"/>
        <v>100</v>
      </c>
      <c r="G33" s="113">
        <f t="shared" si="7"/>
        <v>93.333333333333329</v>
      </c>
      <c r="H33" s="110">
        <f t="shared" si="8"/>
        <v>96.699999999999989</v>
      </c>
      <c r="I33" s="144">
        <f t="shared" si="9"/>
        <v>100</v>
      </c>
      <c r="J33" s="146">
        <f t="shared" si="10"/>
        <v>100</v>
      </c>
      <c r="K33" s="156">
        <f t="shared" si="11"/>
        <v>100</v>
      </c>
      <c r="L33" s="144">
        <f t="shared" si="12"/>
        <v>100</v>
      </c>
      <c r="M33" s="158">
        <f t="shared" si="13"/>
        <v>100</v>
      </c>
      <c r="N33" s="156">
        <f t="shared" si="14"/>
        <v>100</v>
      </c>
      <c r="O33" s="144">
        <f t="shared" si="15"/>
        <v>100</v>
      </c>
      <c r="P33" s="158">
        <f t="shared" si="16"/>
        <v>100</v>
      </c>
      <c r="Q33" s="156">
        <f t="shared" si="17"/>
        <v>100</v>
      </c>
      <c r="S33" s="168" t="s">
        <v>48</v>
      </c>
      <c r="T33"/>
      <c r="U33"/>
      <c r="V33"/>
      <c r="W33">
        <f>100*W32/60</f>
        <v>15</v>
      </c>
    </row>
    <row r="34" spans="1:23" x14ac:dyDescent="0.25">
      <c r="A34" s="173" t="s">
        <v>42</v>
      </c>
      <c r="B34" s="67" t="s">
        <v>10</v>
      </c>
      <c r="G34"/>
      <c r="H34"/>
      <c r="I34" s="79">
        <f>6-F4-IF(I4="--",0,I4)+6-F9-IF(I9="--",0,I9)+6-F14-IF(I14="--",0,I14)+6-F19-IF(I19="--",0,I19)+6-F24-IF(I24="--",0,I24)</f>
        <v>6</v>
      </c>
      <c r="J34" s="70">
        <f>6-G4-IF(J4="--",0,J4)+6-G9-IF(J9="--",0,J9)+6-G14-IF(J14="--",0,J14)+6-G19-IF(J19="--",0,J19)+6-G24-IF(J24="--",0,J24)</f>
        <v>3</v>
      </c>
      <c r="K34" s="108">
        <f>I34+J34</f>
        <v>9</v>
      </c>
      <c r="L34" s="94">
        <f>6-F4-IF(I4="--",0,I4)-IF(L4="--",0,L4)+6-F9-IF(I9="--",0,I9)-IF(L9="--",0,L9)+6-F14-IF(I14="--",0,I14)-IF(L14="--",0,L14)+6-F19-IF(I19="--",0,I19)-IF(L19="--",0,L19)+6-F24-IF(I24="--",0,I24)-IF(L24="--",0,L24)</f>
        <v>6</v>
      </c>
      <c r="M34" s="111">
        <f>6-G4-IF(J4="--",0,J4)-IF(M4="--",0,M4)+6-G9-IF(J9="--",0,J9)-IF(M9="--",0,M9)+6-G14-IF(J14="--",0,J14)-IF(M14="--",0,M14)+6-G19-IF(J19="--",0,J19)-IF(M19="--",0,M19)+6-G24-IF(J24="--",0,J24)-IF(M24="--",0,M24)</f>
        <v>3</v>
      </c>
      <c r="N34" s="108">
        <f>L34+M34</f>
        <v>9</v>
      </c>
      <c r="O34" s="94">
        <f>6-F4-IF(I4="--",0,I4)-IF(L4="--",0,L4)-IF(O4="--",0,O4)+6-F9-IF(I9="--",0,I9)-IF(L9="--",0,L9)-IF(L9="--",0,L9)+6-F14-IF(I14="--",0,I14)-IF(L14="--",0,L14)-IF(L14="--",0,L14)+6-F19-IF(I19="--",0,I19)-IF(L19="--",0,L19)-IF(L19="--",0,L19)+6-F24-IF(I24="--",0,I24)-IF(L24="--",0,L24)-IF(L24="--",0,L24)</f>
        <v>6</v>
      </c>
      <c r="P34" s="111">
        <f>6-G4-IF(J4="--",0,J4)-IF(M4="--",0,M4)-IF(P4="--",0,P4)+6-G9-IF(J9="--",0,J9)-IF(M9="--",0,M9)-IF(M9="--",0,M9)+6-G14-IF(J14="--",0,J14)-IF(M14="--",0,M14)-IF(M14="--",0,M14)+6-G19-IF(J19="--",0,J19)-IF(M19="--",0,M19)-IF(M19="--",0,M19)+6-G24-IF(J24="--",0,J24)-IF(M24="--",0,M24)-IF(M24="--",0,M24)</f>
        <v>3</v>
      </c>
      <c r="Q34" s="108">
        <f>O34+P34</f>
        <v>9</v>
      </c>
      <c r="S34" s="168" t="s">
        <v>49</v>
      </c>
      <c r="T34"/>
      <c r="U34"/>
      <c r="V34"/>
      <c r="W34">
        <f>100*W32/(60*5)</f>
        <v>3</v>
      </c>
    </row>
    <row r="35" spans="1:23" x14ac:dyDescent="0.25">
      <c r="A35" s="174"/>
      <c r="B35" s="63" t="s">
        <v>22</v>
      </c>
      <c r="G35"/>
      <c r="H35"/>
      <c r="I35" s="81">
        <f t="shared" ref="I35:I38" si="18">6-F5-IF(I5="--",0,I5)+6-F10-IF(I10="--",0,I10)+6-F15-IF(I15="--",0,I15)+6-F20-IF(I20="--",0,I20)+6-F25-IF(I25="--",0,I25)</f>
        <v>0</v>
      </c>
      <c r="J35" s="73">
        <f t="shared" ref="J35:J38" si="19">6-G5-IF(J5="--",0,J5)+6-G10-IF(J10="--",0,J10)+6-G15-IF(J15="--",0,J15)+6-G20-IF(J20="--",0,J20)+6-G25-IF(J25="--",0,J25)</f>
        <v>0</v>
      </c>
      <c r="K35" s="109">
        <f t="shared" ref="K35:K38" si="20">I35+J35</f>
        <v>0</v>
      </c>
      <c r="L35" s="97">
        <f t="shared" ref="L35:L38" si="21">6-F5-IF(I5="--",0,I5)-IF(L5="--",0,L5)+6-F10-IF(I10="--",0,I10)-IF(L10="--",0,L10)+6-F15-IF(I15="--",0,I15)-IF(L15="--",0,L15)+6-F20-IF(I20="--",0,I20)-IF(L20="--",0,L20)+6-F25-IF(I25="--",0,I25)-IF(L25="--",0,L25)</f>
        <v>0</v>
      </c>
      <c r="M35" s="112">
        <f t="shared" ref="M35:M38" si="22">6-G5-IF(J5="--",0,J5)-IF(M5="--",0,M5)+6-G10-IF(J10="--",0,J10)-IF(M10="--",0,M10)+6-G15-IF(J15="--",0,J15)-IF(M15="--",0,M15)+6-G20-IF(J20="--",0,J20)-IF(M20="--",0,M20)+6-G25-IF(J25="--",0,J25)-IF(M25="--",0,M25)</f>
        <v>0</v>
      </c>
      <c r="N35" s="109">
        <f t="shared" ref="N35:N38" si="23">L35+M35</f>
        <v>0</v>
      </c>
      <c r="O35" s="97">
        <f t="shared" ref="O35:O38" si="24">6-F5-IF(I5="--",0,I5)-IF(L5="--",0,L5)-IF(O5="--",0,O5)+6-F10-IF(I10="--",0,I10)-IF(L10="--",0,L10)-IF(L10="--",0,L10)+6-F15-IF(I15="--",0,I15)-IF(L15="--",0,L15)-IF(L15="--",0,L15)+6-F20-IF(I20="--",0,I20)-IF(L20="--",0,L20)-IF(L20="--",0,L20)+6-F25-IF(I25="--",0,I25)-IF(L25="--",0,L25)-IF(L25="--",0,L25)</f>
        <v>0</v>
      </c>
      <c r="P35" s="112">
        <f t="shared" ref="P35:P38" si="25">6-G5-IF(J5="--",0,J5)-IF(M5="--",0,M5)-IF(P5="--",0,P5)+6-G10-IF(J10="--",0,J10)-IF(M10="--",0,M10)-IF(M10="--",0,M10)+6-G15-IF(J15="--",0,J15)-IF(M15="--",0,M15)-IF(M15="--",0,M15)+6-G20-IF(J20="--",0,J20)-IF(M20="--",0,M20)-IF(M20="--",0,M20)+6-G25-IF(J25="--",0,J25)-IF(M25="--",0,M25)-IF(M25="--",0,M25)</f>
        <v>0</v>
      </c>
      <c r="Q35" s="109">
        <f t="shared" ref="Q35:Q38" si="26">O35+P35</f>
        <v>0</v>
      </c>
      <c r="T35"/>
      <c r="U35"/>
      <c r="V35"/>
    </row>
    <row r="36" spans="1:23" x14ac:dyDescent="0.25">
      <c r="A36" s="174"/>
      <c r="B36" s="63" t="s">
        <v>11</v>
      </c>
      <c r="G36"/>
      <c r="H36"/>
      <c r="I36" s="81">
        <f t="shared" si="18"/>
        <v>27</v>
      </c>
      <c r="J36" s="73">
        <f t="shared" si="19"/>
        <v>12</v>
      </c>
      <c r="K36" s="109">
        <f t="shared" si="20"/>
        <v>39</v>
      </c>
      <c r="L36" s="97">
        <f t="shared" si="21"/>
        <v>27</v>
      </c>
      <c r="M36" s="112">
        <f t="shared" si="22"/>
        <v>12</v>
      </c>
      <c r="N36" s="109">
        <f t="shared" si="23"/>
        <v>39</v>
      </c>
      <c r="O36" s="97">
        <f t="shared" si="24"/>
        <v>27</v>
      </c>
      <c r="P36" s="112">
        <f t="shared" si="25"/>
        <v>12</v>
      </c>
      <c r="Q36" s="109">
        <f t="shared" si="26"/>
        <v>39</v>
      </c>
      <c r="T36"/>
      <c r="U36"/>
      <c r="V36"/>
    </row>
    <row r="37" spans="1:23" x14ac:dyDescent="0.25">
      <c r="A37" s="174"/>
      <c r="B37" s="64" t="s">
        <v>8</v>
      </c>
      <c r="G37"/>
      <c r="H37"/>
      <c r="I37" s="81">
        <f t="shared" si="18"/>
        <v>9</v>
      </c>
      <c r="J37" s="73">
        <f t="shared" si="19"/>
        <v>7</v>
      </c>
      <c r="K37" s="109">
        <f t="shared" si="20"/>
        <v>16</v>
      </c>
      <c r="L37" s="97">
        <f t="shared" si="21"/>
        <v>9</v>
      </c>
      <c r="M37" s="112">
        <f t="shared" si="22"/>
        <v>7</v>
      </c>
      <c r="N37" s="109">
        <f t="shared" si="23"/>
        <v>16</v>
      </c>
      <c r="O37" s="97">
        <f t="shared" si="24"/>
        <v>9</v>
      </c>
      <c r="P37" s="112">
        <f t="shared" si="25"/>
        <v>7</v>
      </c>
      <c r="Q37" s="109">
        <f t="shared" si="26"/>
        <v>16</v>
      </c>
      <c r="T37"/>
      <c r="U37"/>
      <c r="V37"/>
    </row>
    <row r="38" spans="1:23" ht="15.75" thickBot="1" x14ac:dyDescent="0.3">
      <c r="A38" s="175"/>
      <c r="B38" s="65" t="s">
        <v>9</v>
      </c>
      <c r="G38"/>
      <c r="H38"/>
      <c r="I38" s="83">
        <f t="shared" si="18"/>
        <v>0</v>
      </c>
      <c r="J38" s="76">
        <f t="shared" si="19"/>
        <v>0</v>
      </c>
      <c r="K38" s="110">
        <f t="shared" si="20"/>
        <v>0</v>
      </c>
      <c r="L38" s="144">
        <f t="shared" si="21"/>
        <v>0</v>
      </c>
      <c r="M38" s="158">
        <f t="shared" si="22"/>
        <v>0</v>
      </c>
      <c r="N38" s="110">
        <f t="shared" si="23"/>
        <v>0</v>
      </c>
      <c r="O38" s="144">
        <f t="shared" si="24"/>
        <v>0</v>
      </c>
      <c r="P38" s="158">
        <f t="shared" si="25"/>
        <v>0</v>
      </c>
      <c r="Q38" s="156">
        <f t="shared" si="26"/>
        <v>0</v>
      </c>
      <c r="T38"/>
      <c r="U38"/>
      <c r="V38"/>
    </row>
    <row r="39" spans="1:23" x14ac:dyDescent="0.25">
      <c r="A39" s="173" t="s">
        <v>43</v>
      </c>
      <c r="B39" s="67" t="s">
        <v>10</v>
      </c>
      <c r="G39"/>
      <c r="H39"/>
      <c r="I39" s="79">
        <f>6-F4+6-F9+6-F14+6-F19+6-F24</f>
        <v>7</v>
      </c>
      <c r="J39" s="70">
        <f>6-G4+6-G9+6-G14+6-G19+6-G24</f>
        <v>10</v>
      </c>
      <c r="K39" s="114">
        <f>I39+J39</f>
        <v>17</v>
      </c>
      <c r="L39" s="94">
        <f>6-F4-IF(I4="--",0,I4)+6-F9-IF(I9="--",0,I9)+6-F14-IF(I14="--",0,I14)+6-F19-IF(I19="--",0,I19)+6-F24-IF(I24="--",0,I24)</f>
        <v>6</v>
      </c>
      <c r="M39" s="96">
        <f>6-G4-IF(J4="--",0,J4)+6-G9-IF(J9="--",0,J9)+6-G14-IF(J14="--",0,J14)+6-G19-IF(J19="--",0,J19)+6-G24-IF(J24="--",0,J24)</f>
        <v>3</v>
      </c>
      <c r="N39" s="114">
        <f>L39+M39</f>
        <v>9</v>
      </c>
      <c r="O39" s="94">
        <f>6-F4-IF(I4="--",0,I4)-IF(L4="--",0,L4)+6-F9-IF(I9="--",0,I9)-IF(L9="--",0,L9)+6-F14-IF(I14="--",0,I14)-IF(L14="--",0,L14)+6-F19-IF(I19="--",0,I19)-IF(L19="--",0,L19)+6-F24-IF(I24="--",0,I24)-IF(L24="--",0,L24)</f>
        <v>6</v>
      </c>
      <c r="P39" s="111">
        <f>6-G4-IF(J4="--",0,J4)-IF(M4="--",0,M4)+6-G9-IF(J9="--",0,J9)-IF(M9="--",0,M9)+6-G14-IF(J14="--",0,J14)-IF(M14="--",0,M14)+6-G19-IF(J19="--",0,J19)-IF(M19="--",0,M19)+6-G24-IF(J24="--",0,J24)-IF(M24="--",0,M24)</f>
        <v>3</v>
      </c>
      <c r="Q39" s="108">
        <f>O39+P39</f>
        <v>9</v>
      </c>
      <c r="T39"/>
      <c r="U39"/>
      <c r="V39"/>
    </row>
    <row r="40" spans="1:23" x14ac:dyDescent="0.25">
      <c r="A40" s="174"/>
      <c r="B40" s="63" t="s">
        <v>22</v>
      </c>
      <c r="G40"/>
      <c r="H40"/>
      <c r="I40" s="81">
        <f t="shared" ref="I40:I43" si="27">6-F5+6-F10+6-F15+6-F20+6-F25</f>
        <v>0</v>
      </c>
      <c r="J40" s="73">
        <f t="shared" ref="J40:J43" si="28">6-G5+6-G10+6-G15+6-G20+6-G25</f>
        <v>2</v>
      </c>
      <c r="K40" s="115">
        <f t="shared" ref="K40:K43" si="29">I40+J40</f>
        <v>2</v>
      </c>
      <c r="L40" s="97">
        <f t="shared" ref="L40:L43" si="30">6-F5-IF(I5="--",0,I5)+6-F10-IF(I10="--",0,I10)+6-F15-IF(I15="--",0,I15)+6-F20-IF(I20="--",0,I20)+6-F25-IF(I25="--",0,I25)</f>
        <v>0</v>
      </c>
      <c r="M40" s="99">
        <f t="shared" ref="M40:M43" si="31">6-G5-IF(J5="--",0,J5)+6-G10-IF(J10="--",0,J10)+6-G15-IF(J15="--",0,J15)+6-G20-IF(J20="--",0,J20)+6-G25-IF(J25="--",0,J25)</f>
        <v>0</v>
      </c>
      <c r="N40" s="115">
        <f t="shared" ref="N40:N43" si="32">L40+M40</f>
        <v>0</v>
      </c>
      <c r="O40" s="97">
        <f t="shared" ref="O40:O43" si="33">6-F5-IF(I5="--",0,I5)-IF(L5="--",0,L5)+6-F10-IF(I10="--",0,I10)-IF(L10="--",0,L10)+6-F15-IF(I15="--",0,I15)-IF(L15="--",0,L15)+6-F20-IF(I20="--",0,I20)-IF(L20="--",0,L20)+6-F25-IF(I25="--",0,I25)-IF(L25="--",0,L25)</f>
        <v>0</v>
      </c>
      <c r="P40" s="112">
        <f t="shared" ref="P40:P43" si="34">6-G5-IF(J5="--",0,J5)-IF(M5="--",0,M5)+6-G10-IF(J10="--",0,J10)-IF(M10="--",0,M10)+6-G15-IF(J15="--",0,J15)-IF(M15="--",0,M15)+6-G20-IF(J20="--",0,J20)-IF(M20="--",0,M20)+6-G25-IF(J25="--",0,J25)-IF(M25="--",0,M25)</f>
        <v>0</v>
      </c>
      <c r="Q40" s="109">
        <f t="shared" ref="Q40:Q43" si="35">O40+P40</f>
        <v>0</v>
      </c>
      <c r="T40"/>
      <c r="U40"/>
      <c r="V40"/>
    </row>
    <row r="41" spans="1:23" x14ac:dyDescent="0.25">
      <c r="A41" s="174"/>
      <c r="B41" s="63" t="s">
        <v>11</v>
      </c>
      <c r="G41"/>
      <c r="H41"/>
      <c r="I41" s="81">
        <f t="shared" si="27"/>
        <v>28</v>
      </c>
      <c r="J41" s="73">
        <f t="shared" si="28"/>
        <v>12</v>
      </c>
      <c r="K41" s="115">
        <f t="shared" si="29"/>
        <v>40</v>
      </c>
      <c r="L41" s="97">
        <f t="shared" si="30"/>
        <v>27</v>
      </c>
      <c r="M41" s="99">
        <f t="shared" si="31"/>
        <v>12</v>
      </c>
      <c r="N41" s="115">
        <f t="shared" si="32"/>
        <v>39</v>
      </c>
      <c r="O41" s="97">
        <f t="shared" si="33"/>
        <v>27</v>
      </c>
      <c r="P41" s="112">
        <f t="shared" si="34"/>
        <v>12</v>
      </c>
      <c r="Q41" s="109">
        <f t="shared" si="35"/>
        <v>39</v>
      </c>
      <c r="T41"/>
      <c r="U41"/>
      <c r="V41"/>
    </row>
    <row r="42" spans="1:23" x14ac:dyDescent="0.25">
      <c r="A42" s="174"/>
      <c r="B42" s="64" t="s">
        <v>8</v>
      </c>
      <c r="G42"/>
      <c r="H42"/>
      <c r="I42" s="81">
        <f t="shared" si="27"/>
        <v>10</v>
      </c>
      <c r="J42" s="73">
        <f t="shared" si="28"/>
        <v>7</v>
      </c>
      <c r="K42" s="115">
        <f t="shared" si="29"/>
        <v>17</v>
      </c>
      <c r="L42" s="97">
        <f t="shared" si="30"/>
        <v>9</v>
      </c>
      <c r="M42" s="99">
        <f t="shared" si="31"/>
        <v>7</v>
      </c>
      <c r="N42" s="115">
        <f t="shared" si="32"/>
        <v>16</v>
      </c>
      <c r="O42" s="97">
        <f t="shared" si="33"/>
        <v>9</v>
      </c>
      <c r="P42" s="112">
        <f t="shared" si="34"/>
        <v>7</v>
      </c>
      <c r="Q42" s="109">
        <f t="shared" si="35"/>
        <v>16</v>
      </c>
      <c r="T42"/>
      <c r="U42"/>
      <c r="V42"/>
    </row>
    <row r="43" spans="1:23" ht="15.75" thickBot="1" x14ac:dyDescent="0.3">
      <c r="A43" s="175"/>
      <c r="B43" s="65" t="s">
        <v>9</v>
      </c>
      <c r="G43"/>
      <c r="H43"/>
      <c r="I43" s="120">
        <f t="shared" si="27"/>
        <v>0</v>
      </c>
      <c r="J43" s="122">
        <f t="shared" si="28"/>
        <v>2</v>
      </c>
      <c r="K43" s="157">
        <f t="shared" si="29"/>
        <v>2</v>
      </c>
      <c r="L43" s="100">
        <f t="shared" si="30"/>
        <v>0</v>
      </c>
      <c r="M43" s="101">
        <f t="shared" si="31"/>
        <v>0</v>
      </c>
      <c r="N43" s="157">
        <f t="shared" si="32"/>
        <v>0</v>
      </c>
      <c r="O43" s="144">
        <f t="shared" si="33"/>
        <v>0</v>
      </c>
      <c r="P43" s="158">
        <f t="shared" si="34"/>
        <v>0</v>
      </c>
      <c r="Q43" s="110">
        <f t="shared" si="35"/>
        <v>0</v>
      </c>
      <c r="T43"/>
      <c r="U43"/>
      <c r="V43"/>
    </row>
    <row r="44" spans="1:23" x14ac:dyDescent="0.25">
      <c r="A44" s="173" t="s">
        <v>44</v>
      </c>
      <c r="B44" s="67" t="s">
        <v>10</v>
      </c>
      <c r="G44"/>
      <c r="H44"/>
      <c r="I44" s="79">
        <f t="shared" ref="I44:Q44" si="36">IF(I39=0,0,100*I34/I39)</f>
        <v>85.714285714285708</v>
      </c>
      <c r="J44" s="80">
        <f t="shared" si="36"/>
        <v>30</v>
      </c>
      <c r="K44" s="108">
        <f t="shared" si="36"/>
        <v>52.941176470588232</v>
      </c>
      <c r="L44" s="79">
        <f t="shared" si="36"/>
        <v>100</v>
      </c>
      <c r="M44" s="70">
        <f t="shared" si="36"/>
        <v>100</v>
      </c>
      <c r="N44" s="114">
        <f t="shared" si="36"/>
        <v>100</v>
      </c>
      <c r="O44" s="79">
        <f t="shared" si="36"/>
        <v>100</v>
      </c>
      <c r="P44" s="80">
        <f t="shared" si="36"/>
        <v>100</v>
      </c>
      <c r="Q44" s="108">
        <f t="shared" si="36"/>
        <v>100</v>
      </c>
      <c r="T44"/>
      <c r="U44"/>
      <c r="V44"/>
    </row>
    <row r="45" spans="1:23" x14ac:dyDescent="0.25">
      <c r="A45" s="176"/>
      <c r="B45" s="63" t="s">
        <v>22</v>
      </c>
      <c r="G45"/>
      <c r="H45"/>
      <c r="I45" s="81">
        <f t="shared" ref="I45:Q48" si="37">IF(I40=0,0,100*I35/I40)</f>
        <v>0</v>
      </c>
      <c r="J45" s="82">
        <f t="shared" si="37"/>
        <v>0</v>
      </c>
      <c r="K45" s="109">
        <f t="shared" si="37"/>
        <v>0</v>
      </c>
      <c r="L45" s="132">
        <f t="shared" si="37"/>
        <v>0</v>
      </c>
      <c r="M45" s="134">
        <f t="shared" si="37"/>
        <v>0</v>
      </c>
      <c r="N45" s="115">
        <f t="shared" si="37"/>
        <v>0</v>
      </c>
      <c r="O45" s="81">
        <f t="shared" si="37"/>
        <v>0</v>
      </c>
      <c r="P45" s="82">
        <f t="shared" si="37"/>
        <v>0</v>
      </c>
      <c r="Q45" s="109">
        <f t="shared" si="37"/>
        <v>0</v>
      </c>
      <c r="T45"/>
      <c r="U45"/>
      <c r="V45"/>
    </row>
    <row r="46" spans="1:23" x14ac:dyDescent="0.25">
      <c r="A46" s="176"/>
      <c r="B46" s="63" t="s">
        <v>11</v>
      </c>
      <c r="G46"/>
      <c r="H46"/>
      <c r="I46" s="81">
        <f t="shared" si="37"/>
        <v>96.428571428571431</v>
      </c>
      <c r="J46" s="82">
        <f t="shared" si="37"/>
        <v>100</v>
      </c>
      <c r="K46" s="109">
        <f t="shared" si="37"/>
        <v>97.5</v>
      </c>
      <c r="L46" s="132">
        <f t="shared" si="37"/>
        <v>100</v>
      </c>
      <c r="M46" s="134">
        <f t="shared" si="37"/>
        <v>100</v>
      </c>
      <c r="N46" s="115">
        <f t="shared" si="37"/>
        <v>100</v>
      </c>
      <c r="O46" s="81">
        <f t="shared" si="37"/>
        <v>100</v>
      </c>
      <c r="P46" s="82">
        <f t="shared" si="37"/>
        <v>100</v>
      </c>
      <c r="Q46" s="109">
        <f t="shared" si="37"/>
        <v>100</v>
      </c>
      <c r="T46"/>
      <c r="U46"/>
      <c r="V46"/>
    </row>
    <row r="47" spans="1:23" x14ac:dyDescent="0.25">
      <c r="A47" s="176"/>
      <c r="B47" s="64" t="s">
        <v>8</v>
      </c>
      <c r="G47"/>
      <c r="H47"/>
      <c r="I47" s="81">
        <f t="shared" si="37"/>
        <v>90</v>
      </c>
      <c r="J47" s="82">
        <f t="shared" si="37"/>
        <v>100</v>
      </c>
      <c r="K47" s="109">
        <f t="shared" si="37"/>
        <v>94.117647058823536</v>
      </c>
      <c r="L47" s="132">
        <f t="shared" si="37"/>
        <v>100</v>
      </c>
      <c r="M47" s="134">
        <f t="shared" si="37"/>
        <v>100</v>
      </c>
      <c r="N47" s="115">
        <f t="shared" si="37"/>
        <v>100</v>
      </c>
      <c r="O47" s="81">
        <f t="shared" si="37"/>
        <v>100</v>
      </c>
      <c r="P47" s="82">
        <f t="shared" si="37"/>
        <v>100</v>
      </c>
      <c r="Q47" s="109">
        <f t="shared" si="37"/>
        <v>100</v>
      </c>
      <c r="T47"/>
      <c r="U47"/>
      <c r="V47"/>
    </row>
    <row r="48" spans="1:23" ht="15.75" thickBot="1" x14ac:dyDescent="0.3">
      <c r="A48" s="177"/>
      <c r="B48" s="65" t="s">
        <v>9</v>
      </c>
      <c r="G48"/>
      <c r="H48"/>
      <c r="I48" s="83">
        <f t="shared" si="37"/>
        <v>0</v>
      </c>
      <c r="J48" s="84">
        <f t="shared" si="37"/>
        <v>0</v>
      </c>
      <c r="K48" s="110">
        <f t="shared" si="37"/>
        <v>0</v>
      </c>
      <c r="L48" s="140">
        <f t="shared" si="37"/>
        <v>0</v>
      </c>
      <c r="M48" s="159">
        <f t="shared" si="37"/>
        <v>0</v>
      </c>
      <c r="N48" s="116">
        <f t="shared" si="37"/>
        <v>0</v>
      </c>
      <c r="O48" s="83">
        <f t="shared" si="37"/>
        <v>0</v>
      </c>
      <c r="P48" s="84">
        <f t="shared" si="37"/>
        <v>0</v>
      </c>
      <c r="Q48" s="110">
        <f t="shared" si="37"/>
        <v>0</v>
      </c>
      <c r="T48"/>
      <c r="U48"/>
      <c r="V48"/>
    </row>
    <row r="49" spans="7:22" x14ac:dyDescent="0.25"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7:22" x14ac:dyDescent="0.25"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7:22" x14ac:dyDescent="0.25"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7:22" x14ac:dyDescent="0.25"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7:22" x14ac:dyDescent="0.25"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7:22" x14ac:dyDescent="0.25"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7:22" x14ac:dyDescent="0.25"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7:22" x14ac:dyDescent="0.25"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7:22" x14ac:dyDescent="0.25"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7:22" x14ac:dyDescent="0.25"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7:22" x14ac:dyDescent="0.25"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7:22" x14ac:dyDescent="0.25"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</sheetData>
  <mergeCells count="16">
    <mergeCell ref="C1:V1"/>
    <mergeCell ref="C2:E2"/>
    <mergeCell ref="F2:H2"/>
    <mergeCell ref="I2:K2"/>
    <mergeCell ref="L2:N2"/>
    <mergeCell ref="O2:Q2"/>
    <mergeCell ref="A24:A28"/>
    <mergeCell ref="R2:S2"/>
    <mergeCell ref="A34:A38"/>
    <mergeCell ref="A39:A43"/>
    <mergeCell ref="A44:A48"/>
    <mergeCell ref="A29:A33"/>
    <mergeCell ref="A4:A8"/>
    <mergeCell ref="A9:A13"/>
    <mergeCell ref="A14:A18"/>
    <mergeCell ref="A19:A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E8B9-353C-4553-8608-84B65109EDD9}">
  <dimension ref="A1:T60"/>
  <sheetViews>
    <sheetView zoomScale="85" zoomScaleNormal="85" workbookViewId="0">
      <selection activeCell="T2" sqref="T2"/>
    </sheetView>
  </sheetViews>
  <sheetFormatPr baseColWidth="10" defaultRowHeight="15" x14ac:dyDescent="0.25"/>
  <cols>
    <col min="1" max="1" width="9.85546875" customWidth="1"/>
    <col min="2" max="2" width="12.42578125" customWidth="1"/>
    <col min="3" max="4" width="5.85546875" style="1" customWidth="1"/>
    <col min="5" max="5" width="7.28515625" style="1" customWidth="1"/>
    <col min="6" max="19" width="5.85546875" style="1" customWidth="1"/>
  </cols>
  <sheetData>
    <row r="1" spans="1:20" ht="15.75" thickBot="1" x14ac:dyDescent="0.3">
      <c r="C1" s="206" t="s">
        <v>37</v>
      </c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20" ht="15.75" thickBot="1" x14ac:dyDescent="0.3">
      <c r="C2" s="185" t="s">
        <v>38</v>
      </c>
      <c r="D2" s="186"/>
      <c r="E2" s="187"/>
      <c r="F2" s="188" t="s">
        <v>17</v>
      </c>
      <c r="G2" s="189"/>
      <c r="H2" s="190"/>
      <c r="I2" s="188" t="s">
        <v>18</v>
      </c>
      <c r="J2" s="189"/>
      <c r="K2" s="190"/>
      <c r="L2" s="194" t="s">
        <v>19</v>
      </c>
      <c r="M2" s="195"/>
      <c r="N2" s="196"/>
      <c r="O2" s="197" t="s">
        <v>20</v>
      </c>
      <c r="P2" s="198"/>
      <c r="Q2" s="200"/>
      <c r="R2" s="201" t="s">
        <v>50</v>
      </c>
      <c r="S2" s="203"/>
      <c r="T2" s="207" t="s">
        <v>36</v>
      </c>
    </row>
    <row r="3" spans="1:20" ht="15.75" thickBot="1" x14ac:dyDescent="0.3">
      <c r="A3" s="6" t="s">
        <v>0</v>
      </c>
      <c r="B3" s="17" t="s">
        <v>7</v>
      </c>
      <c r="C3" s="57" t="s">
        <v>4</v>
      </c>
      <c r="D3" s="8" t="s">
        <v>5</v>
      </c>
      <c r="E3" s="17" t="s">
        <v>23</v>
      </c>
      <c r="F3" s="8" t="s">
        <v>4</v>
      </c>
      <c r="G3" s="8" t="s">
        <v>5</v>
      </c>
      <c r="H3" s="17" t="s">
        <v>24</v>
      </c>
      <c r="I3" s="8" t="s">
        <v>4</v>
      </c>
      <c r="J3" s="8" t="s">
        <v>5</v>
      </c>
      <c r="K3" s="17" t="s">
        <v>24</v>
      </c>
      <c r="L3" s="8" t="s">
        <v>4</v>
      </c>
      <c r="M3" s="8" t="s">
        <v>5</v>
      </c>
      <c r="N3" s="17" t="s">
        <v>24</v>
      </c>
      <c r="O3" s="40" t="s">
        <v>4</v>
      </c>
      <c r="P3" s="40" t="s">
        <v>5</v>
      </c>
      <c r="Q3" s="17" t="s">
        <v>24</v>
      </c>
      <c r="R3" s="169" t="s">
        <v>4</v>
      </c>
      <c r="S3" s="169" t="s">
        <v>5</v>
      </c>
    </row>
    <row r="4" spans="1:20" x14ac:dyDescent="0.25">
      <c r="A4" s="178" t="s">
        <v>30</v>
      </c>
      <c r="B4" s="63" t="s">
        <v>10</v>
      </c>
      <c r="C4" s="58">
        <v>83.33</v>
      </c>
      <c r="D4" s="3">
        <v>100</v>
      </c>
      <c r="E4" s="19">
        <f>SUM(C4:D4)/2</f>
        <v>91.664999999999992</v>
      </c>
      <c r="F4" s="3">
        <v>4</v>
      </c>
      <c r="G4" s="3">
        <v>6</v>
      </c>
      <c r="H4" s="18">
        <f>100*SUM(F4:G4)/12</f>
        <v>83.333333333333329</v>
      </c>
      <c r="I4" s="21">
        <v>1</v>
      </c>
      <c r="J4" s="21" t="s">
        <v>21</v>
      </c>
      <c r="K4" s="18">
        <f>H4+100*SUM(I4:J4)/12</f>
        <v>91.666666666666657</v>
      </c>
      <c r="L4" s="36">
        <v>0</v>
      </c>
      <c r="M4" s="23" t="s">
        <v>21</v>
      </c>
      <c r="N4" s="42">
        <f>K4+100*SUM(L4:M4)/12</f>
        <v>91.666666666666657</v>
      </c>
      <c r="O4" s="36">
        <v>0</v>
      </c>
      <c r="P4" s="49" t="s">
        <v>21</v>
      </c>
      <c r="Q4" s="38">
        <f>N4+100*SUM(O4:P4)/12</f>
        <v>91.666666666666657</v>
      </c>
      <c r="R4" s="22">
        <v>3</v>
      </c>
      <c r="S4" s="24"/>
    </row>
    <row r="5" spans="1:20" x14ac:dyDescent="0.25">
      <c r="A5" s="179"/>
      <c r="B5" s="63" t="s">
        <v>22</v>
      </c>
      <c r="C5" s="58">
        <v>100</v>
      </c>
      <c r="D5" s="3">
        <v>100</v>
      </c>
      <c r="E5" s="18">
        <f t="shared" ref="E5:E28" si="0">SUM(C5:D5)/2</f>
        <v>100</v>
      </c>
      <c r="F5" s="3">
        <v>6</v>
      </c>
      <c r="G5" s="3">
        <v>6</v>
      </c>
      <c r="H5" s="18">
        <f t="shared" ref="H5:H28" si="1">100*SUM(F5:G5)/12</f>
        <v>100</v>
      </c>
      <c r="I5" s="21" t="s">
        <v>21</v>
      </c>
      <c r="J5" s="21" t="s">
        <v>21</v>
      </c>
      <c r="K5" s="18">
        <f t="shared" ref="K5:K28" si="2">H5+100*SUM(I5:J5)/12</f>
        <v>100</v>
      </c>
      <c r="L5" s="25" t="s">
        <v>21</v>
      </c>
      <c r="M5" s="21" t="s">
        <v>21</v>
      </c>
      <c r="N5" s="42">
        <f t="shared" ref="N5:N28" si="3">K5+100*SUM(L5:M5)/12</f>
        <v>100</v>
      </c>
      <c r="O5" s="45" t="s">
        <v>21</v>
      </c>
      <c r="P5" s="50" t="s">
        <v>21</v>
      </c>
      <c r="Q5" s="42">
        <f t="shared" ref="Q5:Q28" si="4">N5+100*SUM(O5:P5)/12</f>
        <v>100</v>
      </c>
      <c r="R5" s="35"/>
      <c r="S5" s="28"/>
    </row>
    <row r="6" spans="1:20" x14ac:dyDescent="0.25">
      <c r="A6" s="179"/>
      <c r="B6" s="63" t="s">
        <v>11</v>
      </c>
      <c r="C6" s="58">
        <v>66.67</v>
      </c>
      <c r="D6" s="3">
        <v>83.33</v>
      </c>
      <c r="E6" s="18">
        <f t="shared" si="0"/>
        <v>75</v>
      </c>
      <c r="F6" s="3">
        <v>3</v>
      </c>
      <c r="G6" s="21">
        <v>5</v>
      </c>
      <c r="H6" s="18">
        <f t="shared" si="1"/>
        <v>66.666666666666671</v>
      </c>
      <c r="I6" s="3">
        <v>1</v>
      </c>
      <c r="J6" s="21">
        <v>0</v>
      </c>
      <c r="K6" s="18">
        <f t="shared" si="2"/>
        <v>75</v>
      </c>
      <c r="L6" s="25">
        <v>0</v>
      </c>
      <c r="M6" s="21">
        <v>0</v>
      </c>
      <c r="N6" s="42">
        <f t="shared" si="3"/>
        <v>75</v>
      </c>
      <c r="O6" s="25">
        <v>0</v>
      </c>
      <c r="P6" s="50">
        <v>0</v>
      </c>
      <c r="Q6" s="42">
        <f t="shared" si="4"/>
        <v>75</v>
      </c>
      <c r="R6" s="35"/>
      <c r="S6" s="28"/>
    </row>
    <row r="7" spans="1:20" x14ac:dyDescent="0.25">
      <c r="A7" s="180"/>
      <c r="B7" s="64" t="s">
        <v>8</v>
      </c>
      <c r="C7" s="59">
        <v>100</v>
      </c>
      <c r="D7" s="2">
        <v>83.33</v>
      </c>
      <c r="E7" s="18">
        <f t="shared" si="0"/>
        <v>91.664999999999992</v>
      </c>
      <c r="F7" s="44">
        <v>5</v>
      </c>
      <c r="G7" s="44">
        <v>5</v>
      </c>
      <c r="H7" s="18">
        <f t="shared" si="1"/>
        <v>83.333333333333329</v>
      </c>
      <c r="I7" s="44">
        <v>1</v>
      </c>
      <c r="J7" s="21">
        <v>0</v>
      </c>
      <c r="K7" s="18">
        <f t="shared" si="2"/>
        <v>91.666666666666657</v>
      </c>
      <c r="L7" s="45" t="s">
        <v>21</v>
      </c>
      <c r="M7" s="21">
        <v>0</v>
      </c>
      <c r="N7" s="42">
        <f t="shared" si="3"/>
        <v>91.666666666666657</v>
      </c>
      <c r="O7" s="25" t="s">
        <v>21</v>
      </c>
      <c r="P7" s="51">
        <v>0</v>
      </c>
      <c r="Q7" s="42">
        <f t="shared" si="4"/>
        <v>91.666666666666657</v>
      </c>
      <c r="R7" s="35"/>
      <c r="S7" s="28"/>
    </row>
    <row r="8" spans="1:20" ht="15.75" thickBot="1" x14ac:dyDescent="0.3">
      <c r="A8" s="181"/>
      <c r="B8" s="65" t="s">
        <v>9</v>
      </c>
      <c r="C8" s="60">
        <v>100</v>
      </c>
      <c r="D8" s="4">
        <v>66.67</v>
      </c>
      <c r="E8" s="20">
        <f t="shared" si="0"/>
        <v>83.335000000000008</v>
      </c>
      <c r="F8" s="48">
        <v>6</v>
      </c>
      <c r="G8" s="4">
        <v>4</v>
      </c>
      <c r="H8" s="20">
        <f t="shared" si="1"/>
        <v>83.333333333333329</v>
      </c>
      <c r="I8" s="21" t="s">
        <v>21</v>
      </c>
      <c r="J8" s="21">
        <v>0</v>
      </c>
      <c r="K8" s="20">
        <f t="shared" si="2"/>
        <v>83.333333333333329</v>
      </c>
      <c r="L8" s="29" t="s">
        <v>21</v>
      </c>
      <c r="M8" s="30">
        <v>0</v>
      </c>
      <c r="N8" s="43">
        <f t="shared" si="3"/>
        <v>83.333333333333329</v>
      </c>
      <c r="O8" s="29" t="s">
        <v>21</v>
      </c>
      <c r="P8" s="52">
        <v>0</v>
      </c>
      <c r="Q8" s="43">
        <f t="shared" si="4"/>
        <v>83.333333333333329</v>
      </c>
      <c r="R8" s="163"/>
      <c r="S8" s="164"/>
    </row>
    <row r="9" spans="1:20" x14ac:dyDescent="0.25">
      <c r="A9" s="178" t="s">
        <v>31</v>
      </c>
      <c r="B9" s="63" t="s">
        <v>10</v>
      </c>
      <c r="C9" s="61">
        <v>33.33</v>
      </c>
      <c r="D9" s="5">
        <v>83.33</v>
      </c>
      <c r="E9" s="19">
        <f t="shared" si="0"/>
        <v>58.33</v>
      </c>
      <c r="F9" s="5">
        <v>2</v>
      </c>
      <c r="G9" s="5">
        <v>5</v>
      </c>
      <c r="H9" s="19">
        <f t="shared" si="1"/>
        <v>58.333333333333336</v>
      </c>
      <c r="I9" s="36">
        <v>0</v>
      </c>
      <c r="J9" s="23">
        <v>0</v>
      </c>
      <c r="K9" s="19">
        <f t="shared" si="2"/>
        <v>58.333333333333336</v>
      </c>
      <c r="L9" s="36">
        <v>0</v>
      </c>
      <c r="M9" s="23">
        <v>0</v>
      </c>
      <c r="N9" s="19">
        <f t="shared" si="3"/>
        <v>58.333333333333336</v>
      </c>
      <c r="O9" s="25">
        <v>0</v>
      </c>
      <c r="P9" s="21">
        <v>0</v>
      </c>
      <c r="Q9" s="38">
        <f t="shared" si="4"/>
        <v>58.333333333333336</v>
      </c>
      <c r="R9" s="22"/>
      <c r="S9" s="24">
        <v>6</v>
      </c>
    </row>
    <row r="10" spans="1:20" x14ac:dyDescent="0.25">
      <c r="A10" s="179"/>
      <c r="B10" s="63" t="s">
        <v>22</v>
      </c>
      <c r="C10" s="58">
        <v>100</v>
      </c>
      <c r="D10" s="3">
        <v>100</v>
      </c>
      <c r="E10" s="18">
        <f t="shared" si="0"/>
        <v>100</v>
      </c>
      <c r="F10" s="3">
        <v>6</v>
      </c>
      <c r="G10" s="3">
        <v>6</v>
      </c>
      <c r="H10" s="18">
        <f t="shared" si="1"/>
        <v>100</v>
      </c>
      <c r="I10" s="21" t="s">
        <v>21</v>
      </c>
      <c r="J10" s="21" t="s">
        <v>21</v>
      </c>
      <c r="K10" s="18">
        <f t="shared" si="2"/>
        <v>100</v>
      </c>
      <c r="L10" s="21" t="s">
        <v>21</v>
      </c>
      <c r="M10" s="21" t="s">
        <v>21</v>
      </c>
      <c r="N10" s="18">
        <f t="shared" si="3"/>
        <v>100</v>
      </c>
      <c r="O10" s="21" t="s">
        <v>21</v>
      </c>
      <c r="P10" s="21" t="s">
        <v>21</v>
      </c>
      <c r="Q10" s="42">
        <f t="shared" si="4"/>
        <v>100</v>
      </c>
      <c r="R10" s="35"/>
      <c r="S10" s="28"/>
    </row>
    <row r="11" spans="1:20" x14ac:dyDescent="0.25">
      <c r="A11" s="179"/>
      <c r="B11" s="63" t="s">
        <v>11</v>
      </c>
      <c r="C11" s="58">
        <v>16.670000000000002</v>
      </c>
      <c r="D11" s="3">
        <v>50</v>
      </c>
      <c r="E11" s="18">
        <f t="shared" si="0"/>
        <v>33.335000000000001</v>
      </c>
      <c r="F11" s="3">
        <v>1</v>
      </c>
      <c r="G11" s="21">
        <v>0</v>
      </c>
      <c r="H11" s="18">
        <f t="shared" si="1"/>
        <v>8.3333333333333339</v>
      </c>
      <c r="I11" s="34">
        <v>0</v>
      </c>
      <c r="J11" s="21">
        <v>2</v>
      </c>
      <c r="K11" s="18">
        <f t="shared" si="2"/>
        <v>25</v>
      </c>
      <c r="L11" s="34">
        <v>0</v>
      </c>
      <c r="M11" s="21">
        <v>1</v>
      </c>
      <c r="N11" s="18">
        <f t="shared" si="3"/>
        <v>33.333333333333336</v>
      </c>
      <c r="O11" s="34">
        <v>0</v>
      </c>
      <c r="P11" s="21">
        <v>0</v>
      </c>
      <c r="Q11" s="42">
        <f t="shared" si="4"/>
        <v>33.333333333333336</v>
      </c>
      <c r="R11" s="35"/>
      <c r="S11" s="28"/>
    </row>
    <row r="12" spans="1:20" x14ac:dyDescent="0.25">
      <c r="A12" s="180"/>
      <c r="B12" s="64" t="s">
        <v>8</v>
      </c>
      <c r="C12" s="59">
        <v>100</v>
      </c>
      <c r="D12" s="2">
        <v>100</v>
      </c>
      <c r="E12" s="18">
        <f t="shared" si="0"/>
        <v>100</v>
      </c>
      <c r="F12" s="2">
        <v>6</v>
      </c>
      <c r="G12" s="2">
        <v>5</v>
      </c>
      <c r="H12" s="18">
        <f t="shared" si="1"/>
        <v>91.666666666666671</v>
      </c>
      <c r="I12" s="45" t="s">
        <v>21</v>
      </c>
      <c r="J12" s="21">
        <v>1</v>
      </c>
      <c r="K12" s="18">
        <f t="shared" si="2"/>
        <v>100</v>
      </c>
      <c r="L12" s="25" t="s">
        <v>21</v>
      </c>
      <c r="M12" s="21" t="s">
        <v>21</v>
      </c>
      <c r="N12" s="18">
        <f t="shared" si="3"/>
        <v>100</v>
      </c>
      <c r="O12" s="25" t="s">
        <v>21</v>
      </c>
      <c r="P12" s="21" t="s">
        <v>21</v>
      </c>
      <c r="Q12" s="42">
        <f t="shared" si="4"/>
        <v>100</v>
      </c>
      <c r="R12" s="35"/>
      <c r="S12" s="28"/>
    </row>
    <row r="13" spans="1:20" ht="15.75" thickBot="1" x14ac:dyDescent="0.3">
      <c r="A13" s="181"/>
      <c r="B13" s="65" t="s">
        <v>9</v>
      </c>
      <c r="C13" s="60">
        <v>100</v>
      </c>
      <c r="D13" s="4">
        <v>100</v>
      </c>
      <c r="E13" s="20">
        <f t="shared" si="0"/>
        <v>100</v>
      </c>
      <c r="F13" s="4">
        <v>6</v>
      </c>
      <c r="G13" s="4">
        <v>6</v>
      </c>
      <c r="H13" s="20">
        <f t="shared" si="1"/>
        <v>100</v>
      </c>
      <c r="I13" s="21" t="s">
        <v>21</v>
      </c>
      <c r="J13" s="21" t="s">
        <v>21</v>
      </c>
      <c r="K13" s="20">
        <f t="shared" si="2"/>
        <v>100</v>
      </c>
      <c r="L13" s="29" t="s">
        <v>21</v>
      </c>
      <c r="M13" s="30" t="s">
        <v>21</v>
      </c>
      <c r="N13" s="20">
        <f t="shared" si="3"/>
        <v>100</v>
      </c>
      <c r="O13" s="29" t="s">
        <v>21</v>
      </c>
      <c r="P13" s="30" t="s">
        <v>21</v>
      </c>
      <c r="Q13" s="43">
        <f t="shared" si="4"/>
        <v>100</v>
      </c>
      <c r="R13" s="163"/>
      <c r="S13" s="164"/>
    </row>
    <row r="14" spans="1:20" x14ac:dyDescent="0.25">
      <c r="A14" s="178" t="s">
        <v>32</v>
      </c>
      <c r="B14" s="63" t="s">
        <v>10</v>
      </c>
      <c r="C14" s="61">
        <v>66.67</v>
      </c>
      <c r="D14" s="5">
        <v>100</v>
      </c>
      <c r="E14" s="19">
        <f t="shared" si="0"/>
        <v>83.335000000000008</v>
      </c>
      <c r="F14" s="5">
        <v>4</v>
      </c>
      <c r="G14" s="5">
        <v>6</v>
      </c>
      <c r="H14" s="19">
        <f t="shared" si="1"/>
        <v>83.333333333333329</v>
      </c>
      <c r="I14" s="22">
        <v>0</v>
      </c>
      <c r="J14" s="23" t="s">
        <v>21</v>
      </c>
      <c r="K14" s="19">
        <f t="shared" si="2"/>
        <v>83.333333333333329</v>
      </c>
      <c r="L14" s="21">
        <v>0</v>
      </c>
      <c r="M14" s="21" t="s">
        <v>21</v>
      </c>
      <c r="N14" s="19">
        <f t="shared" si="3"/>
        <v>83.333333333333329</v>
      </c>
      <c r="O14" s="21">
        <v>0</v>
      </c>
      <c r="P14" s="21" t="s">
        <v>21</v>
      </c>
      <c r="Q14" s="38">
        <f t="shared" si="4"/>
        <v>83.333333333333329</v>
      </c>
      <c r="R14" s="22"/>
      <c r="S14" s="24"/>
    </row>
    <row r="15" spans="1:20" x14ac:dyDescent="0.25">
      <c r="A15" s="179"/>
      <c r="B15" s="63" t="s">
        <v>22</v>
      </c>
      <c r="C15" s="58">
        <v>100</v>
      </c>
      <c r="D15" s="3">
        <v>100</v>
      </c>
      <c r="E15" s="18">
        <f t="shared" si="0"/>
        <v>100</v>
      </c>
      <c r="F15" s="3">
        <v>6</v>
      </c>
      <c r="G15" s="3">
        <v>6</v>
      </c>
      <c r="H15" s="18">
        <f t="shared" si="1"/>
        <v>100</v>
      </c>
      <c r="I15" s="21" t="s">
        <v>21</v>
      </c>
      <c r="J15" s="21" t="s">
        <v>21</v>
      </c>
      <c r="K15" s="18">
        <f t="shared" si="2"/>
        <v>100</v>
      </c>
      <c r="L15" s="21" t="s">
        <v>21</v>
      </c>
      <c r="M15" s="21" t="s">
        <v>21</v>
      </c>
      <c r="N15" s="18">
        <f t="shared" si="3"/>
        <v>100</v>
      </c>
      <c r="O15" s="21" t="s">
        <v>21</v>
      </c>
      <c r="P15" s="21" t="s">
        <v>21</v>
      </c>
      <c r="Q15" s="42">
        <f t="shared" si="4"/>
        <v>100</v>
      </c>
      <c r="R15" s="35"/>
      <c r="S15" s="28"/>
    </row>
    <row r="16" spans="1:20" x14ac:dyDescent="0.25">
      <c r="A16" s="179"/>
      <c r="B16" s="63" t="s">
        <v>11</v>
      </c>
      <c r="C16" s="58">
        <v>16.670000000000002</v>
      </c>
      <c r="D16" s="3">
        <v>100</v>
      </c>
      <c r="E16" s="18">
        <f t="shared" si="0"/>
        <v>58.335000000000001</v>
      </c>
      <c r="F16" s="3">
        <v>1</v>
      </c>
      <c r="G16" s="3">
        <v>6</v>
      </c>
      <c r="H16" s="18">
        <f t="shared" si="1"/>
        <v>58.333333333333336</v>
      </c>
      <c r="I16" s="34">
        <v>0</v>
      </c>
      <c r="J16" s="21" t="s">
        <v>21</v>
      </c>
      <c r="K16" s="18">
        <f t="shared" si="2"/>
        <v>58.333333333333336</v>
      </c>
      <c r="L16" s="3">
        <v>0</v>
      </c>
      <c r="M16" s="21" t="s">
        <v>21</v>
      </c>
      <c r="N16" s="18">
        <f t="shared" si="3"/>
        <v>58.333333333333336</v>
      </c>
      <c r="O16" s="21">
        <v>0</v>
      </c>
      <c r="P16" s="21" t="s">
        <v>21</v>
      </c>
      <c r="Q16" s="42">
        <f t="shared" si="4"/>
        <v>58.333333333333336</v>
      </c>
      <c r="R16" s="35"/>
      <c r="S16" s="28"/>
    </row>
    <row r="17" spans="1:19" x14ac:dyDescent="0.25">
      <c r="A17" s="180"/>
      <c r="B17" s="64" t="s">
        <v>8</v>
      </c>
      <c r="C17" s="59">
        <v>83.33</v>
      </c>
      <c r="D17" s="2">
        <v>83.33</v>
      </c>
      <c r="E17" s="18">
        <f t="shared" si="0"/>
        <v>83.33</v>
      </c>
      <c r="F17" s="2">
        <v>5</v>
      </c>
      <c r="G17" s="2">
        <v>5</v>
      </c>
      <c r="H17" s="18">
        <f t="shared" si="1"/>
        <v>83.333333333333329</v>
      </c>
      <c r="I17" s="45">
        <v>0</v>
      </c>
      <c r="J17" s="44">
        <v>0</v>
      </c>
      <c r="K17" s="18">
        <f t="shared" si="2"/>
        <v>83.333333333333329</v>
      </c>
      <c r="L17" s="21">
        <v>0</v>
      </c>
      <c r="M17" s="44">
        <v>0</v>
      </c>
      <c r="N17" s="18">
        <f t="shared" si="3"/>
        <v>83.333333333333329</v>
      </c>
      <c r="O17" s="21">
        <v>0</v>
      </c>
      <c r="P17" s="21">
        <v>0</v>
      </c>
      <c r="Q17" s="42">
        <f t="shared" si="4"/>
        <v>83.333333333333329</v>
      </c>
      <c r="R17" s="35"/>
      <c r="S17" s="28"/>
    </row>
    <row r="18" spans="1:19" ht="15.75" thickBot="1" x14ac:dyDescent="0.3">
      <c r="A18" s="181"/>
      <c r="B18" s="65" t="s">
        <v>9</v>
      </c>
      <c r="C18" s="60">
        <v>100</v>
      </c>
      <c r="D18" s="4">
        <v>100</v>
      </c>
      <c r="E18" s="20">
        <f t="shared" si="0"/>
        <v>100</v>
      </c>
      <c r="F18" s="4">
        <v>6</v>
      </c>
      <c r="G18" s="4">
        <v>6</v>
      </c>
      <c r="H18" s="20">
        <f t="shared" si="1"/>
        <v>100</v>
      </c>
      <c r="I18" s="21" t="s">
        <v>21</v>
      </c>
      <c r="J18" s="21" t="s">
        <v>21</v>
      </c>
      <c r="K18" s="20">
        <f t="shared" si="2"/>
        <v>100</v>
      </c>
      <c r="L18" s="21" t="s">
        <v>21</v>
      </c>
      <c r="M18" s="21" t="s">
        <v>21</v>
      </c>
      <c r="N18" s="20">
        <f t="shared" si="3"/>
        <v>100</v>
      </c>
      <c r="O18" s="32" t="s">
        <v>21</v>
      </c>
      <c r="P18" s="32" t="s">
        <v>21</v>
      </c>
      <c r="Q18" s="43">
        <f t="shared" si="4"/>
        <v>100</v>
      </c>
      <c r="R18" s="163"/>
      <c r="S18" s="164"/>
    </row>
    <row r="19" spans="1:19" x14ac:dyDescent="0.25">
      <c r="A19" s="178" t="s">
        <v>33</v>
      </c>
      <c r="B19" s="63" t="s">
        <v>10</v>
      </c>
      <c r="C19" s="61">
        <v>66.67</v>
      </c>
      <c r="D19" s="5">
        <v>100</v>
      </c>
      <c r="E19" s="19">
        <f t="shared" si="0"/>
        <v>83.335000000000008</v>
      </c>
      <c r="F19" s="5">
        <v>4</v>
      </c>
      <c r="G19" s="5">
        <v>6</v>
      </c>
      <c r="H19" s="19">
        <f t="shared" si="1"/>
        <v>83.333333333333329</v>
      </c>
      <c r="I19" s="5">
        <v>0</v>
      </c>
      <c r="J19" s="23" t="s">
        <v>21</v>
      </c>
      <c r="K19" s="19">
        <f t="shared" si="2"/>
        <v>83.333333333333329</v>
      </c>
      <c r="L19" s="5">
        <v>0</v>
      </c>
      <c r="M19" s="23" t="s">
        <v>21</v>
      </c>
      <c r="N19" s="19">
        <f t="shared" si="3"/>
        <v>83.333333333333329</v>
      </c>
      <c r="O19" s="22">
        <v>0</v>
      </c>
      <c r="P19" s="23" t="s">
        <v>21</v>
      </c>
      <c r="Q19" s="38">
        <f t="shared" si="4"/>
        <v>83.333333333333329</v>
      </c>
      <c r="R19" s="22"/>
      <c r="S19" s="24"/>
    </row>
    <row r="20" spans="1:19" x14ac:dyDescent="0.25">
      <c r="A20" s="179"/>
      <c r="B20" s="63" t="s">
        <v>22</v>
      </c>
      <c r="C20" s="58">
        <v>100</v>
      </c>
      <c r="D20" s="3">
        <v>100</v>
      </c>
      <c r="E20" s="18">
        <f t="shared" si="0"/>
        <v>100</v>
      </c>
      <c r="F20" s="3">
        <v>6</v>
      </c>
      <c r="G20" s="3">
        <v>6</v>
      </c>
      <c r="H20" s="18">
        <f t="shared" si="1"/>
        <v>100</v>
      </c>
      <c r="I20" s="21" t="s">
        <v>21</v>
      </c>
      <c r="J20" s="21" t="s">
        <v>21</v>
      </c>
      <c r="K20" s="18">
        <f t="shared" si="2"/>
        <v>100</v>
      </c>
      <c r="L20" s="21" t="s">
        <v>21</v>
      </c>
      <c r="M20" s="21" t="s">
        <v>21</v>
      </c>
      <c r="N20" s="18">
        <f t="shared" si="3"/>
        <v>100</v>
      </c>
      <c r="O20" s="25" t="s">
        <v>21</v>
      </c>
      <c r="P20" s="21" t="s">
        <v>21</v>
      </c>
      <c r="Q20" s="42">
        <f t="shared" si="4"/>
        <v>100</v>
      </c>
      <c r="R20" s="35"/>
      <c r="S20" s="28"/>
    </row>
    <row r="21" spans="1:19" x14ac:dyDescent="0.25">
      <c r="A21" s="179"/>
      <c r="B21" s="63" t="s">
        <v>11</v>
      </c>
      <c r="C21" s="58">
        <v>0</v>
      </c>
      <c r="D21" s="3">
        <v>100</v>
      </c>
      <c r="E21" s="18">
        <f t="shared" si="0"/>
        <v>50</v>
      </c>
      <c r="F21" s="3">
        <v>0</v>
      </c>
      <c r="G21" s="3">
        <v>4</v>
      </c>
      <c r="H21" s="18">
        <f t="shared" si="1"/>
        <v>33.333333333333336</v>
      </c>
      <c r="I21" s="3">
        <v>0</v>
      </c>
      <c r="J21" s="21">
        <v>1</v>
      </c>
      <c r="K21" s="18">
        <f t="shared" si="2"/>
        <v>41.666666666666671</v>
      </c>
      <c r="L21" s="21">
        <v>0</v>
      </c>
      <c r="M21" s="21">
        <v>1</v>
      </c>
      <c r="N21" s="18">
        <f t="shared" si="3"/>
        <v>50.000000000000007</v>
      </c>
      <c r="O21" s="25">
        <v>0</v>
      </c>
      <c r="P21" s="21" t="s">
        <v>21</v>
      </c>
      <c r="Q21" s="42">
        <f t="shared" si="4"/>
        <v>50.000000000000007</v>
      </c>
      <c r="R21" s="35"/>
      <c r="S21" s="28"/>
    </row>
    <row r="22" spans="1:19" x14ac:dyDescent="0.25">
      <c r="A22" s="180"/>
      <c r="B22" s="64" t="s">
        <v>8</v>
      </c>
      <c r="C22" s="59">
        <v>100</v>
      </c>
      <c r="D22" s="2">
        <v>83.33</v>
      </c>
      <c r="E22" s="18">
        <f t="shared" si="0"/>
        <v>91.664999999999992</v>
      </c>
      <c r="F22" s="2">
        <v>6</v>
      </c>
      <c r="G22" s="2">
        <v>4</v>
      </c>
      <c r="H22" s="18">
        <f t="shared" si="1"/>
        <v>83.333333333333329</v>
      </c>
      <c r="I22" s="44" t="s">
        <v>21</v>
      </c>
      <c r="J22" s="21">
        <v>0</v>
      </c>
      <c r="K22" s="18">
        <f t="shared" si="2"/>
        <v>83.333333333333329</v>
      </c>
      <c r="L22" s="44" t="s">
        <v>21</v>
      </c>
      <c r="M22" s="21">
        <v>1</v>
      </c>
      <c r="N22" s="18">
        <f t="shared" si="3"/>
        <v>91.666666666666657</v>
      </c>
      <c r="O22" s="45" t="s">
        <v>21</v>
      </c>
      <c r="P22" s="21">
        <v>0</v>
      </c>
      <c r="Q22" s="42">
        <f t="shared" si="4"/>
        <v>91.666666666666657</v>
      </c>
      <c r="R22" s="35"/>
      <c r="S22" s="28"/>
    </row>
    <row r="23" spans="1:19" ht="15.75" thickBot="1" x14ac:dyDescent="0.3">
      <c r="A23" s="181"/>
      <c r="B23" s="65" t="s">
        <v>9</v>
      </c>
      <c r="C23" s="60">
        <v>100</v>
      </c>
      <c r="D23" s="4">
        <v>100</v>
      </c>
      <c r="E23" s="20">
        <f t="shared" si="0"/>
        <v>100</v>
      </c>
      <c r="F23" s="4">
        <v>6</v>
      </c>
      <c r="G23" s="4">
        <v>6</v>
      </c>
      <c r="H23" s="20">
        <f t="shared" si="1"/>
        <v>100</v>
      </c>
      <c r="I23" s="21" t="s">
        <v>21</v>
      </c>
      <c r="J23" s="21" t="s">
        <v>21</v>
      </c>
      <c r="K23" s="20">
        <f t="shared" si="2"/>
        <v>100</v>
      </c>
      <c r="L23" s="21" t="s">
        <v>21</v>
      </c>
      <c r="M23" s="21" t="s">
        <v>21</v>
      </c>
      <c r="N23" s="20">
        <f t="shared" si="3"/>
        <v>100</v>
      </c>
      <c r="O23" s="29" t="s">
        <v>21</v>
      </c>
      <c r="P23" s="30" t="s">
        <v>21</v>
      </c>
      <c r="Q23" s="43">
        <f t="shared" si="4"/>
        <v>100</v>
      </c>
      <c r="R23" s="163"/>
      <c r="S23" s="164"/>
    </row>
    <row r="24" spans="1:19" x14ac:dyDescent="0.25">
      <c r="A24" s="178" t="s">
        <v>34</v>
      </c>
      <c r="B24" s="67" t="s">
        <v>10</v>
      </c>
      <c r="C24" s="61">
        <v>33.33</v>
      </c>
      <c r="D24" s="5">
        <v>50</v>
      </c>
      <c r="E24" s="19">
        <f t="shared" si="0"/>
        <v>41.664999999999999</v>
      </c>
      <c r="F24" s="5">
        <v>2</v>
      </c>
      <c r="G24" s="5">
        <v>2</v>
      </c>
      <c r="H24" s="19">
        <f t="shared" si="1"/>
        <v>33.333333333333336</v>
      </c>
      <c r="I24" s="5">
        <v>0</v>
      </c>
      <c r="J24" s="5">
        <v>0</v>
      </c>
      <c r="K24" s="19">
        <f t="shared" si="2"/>
        <v>33.333333333333336</v>
      </c>
      <c r="L24" s="5">
        <v>0</v>
      </c>
      <c r="M24" s="5">
        <v>0</v>
      </c>
      <c r="N24" s="19">
        <f t="shared" si="3"/>
        <v>33.333333333333336</v>
      </c>
      <c r="O24" s="5">
        <v>0</v>
      </c>
      <c r="P24" s="5">
        <v>1</v>
      </c>
      <c r="Q24" s="38">
        <f t="shared" si="4"/>
        <v>41.666666666666671</v>
      </c>
      <c r="R24" s="22">
        <v>9</v>
      </c>
      <c r="S24" s="24">
        <v>3</v>
      </c>
    </row>
    <row r="25" spans="1:19" x14ac:dyDescent="0.25">
      <c r="A25" s="179"/>
      <c r="B25" s="63" t="s">
        <v>22</v>
      </c>
      <c r="C25" s="58">
        <v>100</v>
      </c>
      <c r="D25" s="3">
        <v>100</v>
      </c>
      <c r="E25" s="18">
        <f t="shared" si="0"/>
        <v>100</v>
      </c>
      <c r="F25" s="3">
        <v>6</v>
      </c>
      <c r="G25" s="3">
        <v>4</v>
      </c>
      <c r="H25" s="18">
        <f t="shared" si="1"/>
        <v>83.333333333333329</v>
      </c>
      <c r="I25" s="21" t="s">
        <v>21</v>
      </c>
      <c r="J25" s="21">
        <v>2</v>
      </c>
      <c r="K25" s="18">
        <f t="shared" si="2"/>
        <v>100</v>
      </c>
      <c r="L25" s="21" t="s">
        <v>21</v>
      </c>
      <c r="M25" s="21" t="s">
        <v>21</v>
      </c>
      <c r="N25" s="18">
        <f t="shared" si="3"/>
        <v>100</v>
      </c>
      <c r="O25" s="21" t="s">
        <v>21</v>
      </c>
      <c r="P25" s="21" t="s">
        <v>21</v>
      </c>
      <c r="Q25" s="42">
        <f t="shared" si="4"/>
        <v>100</v>
      </c>
      <c r="R25" s="35"/>
      <c r="S25" s="28"/>
    </row>
    <row r="26" spans="1:19" x14ac:dyDescent="0.25">
      <c r="A26" s="179"/>
      <c r="B26" s="63" t="s">
        <v>11</v>
      </c>
      <c r="C26" s="58">
        <v>16.670000000000002</v>
      </c>
      <c r="D26" s="3">
        <v>33.33</v>
      </c>
      <c r="E26" s="18">
        <f t="shared" si="0"/>
        <v>25</v>
      </c>
      <c r="F26" s="3">
        <v>0</v>
      </c>
      <c r="G26" s="3">
        <v>2</v>
      </c>
      <c r="H26" s="18">
        <f t="shared" si="1"/>
        <v>16.666666666666668</v>
      </c>
      <c r="I26" s="3">
        <v>1</v>
      </c>
      <c r="J26" s="21">
        <v>0</v>
      </c>
      <c r="K26" s="18">
        <f t="shared" si="2"/>
        <v>25</v>
      </c>
      <c r="L26" s="3">
        <v>0</v>
      </c>
      <c r="M26" s="21">
        <v>0</v>
      </c>
      <c r="N26" s="18">
        <f t="shared" si="3"/>
        <v>25</v>
      </c>
      <c r="O26" s="21">
        <v>0</v>
      </c>
      <c r="P26" s="21">
        <v>0</v>
      </c>
      <c r="Q26" s="42">
        <f t="shared" si="4"/>
        <v>25</v>
      </c>
      <c r="R26" s="35"/>
      <c r="S26" s="28"/>
    </row>
    <row r="27" spans="1:19" x14ac:dyDescent="0.25">
      <c r="A27" s="180"/>
      <c r="B27" s="64" t="s">
        <v>8</v>
      </c>
      <c r="C27" s="59">
        <v>66.67</v>
      </c>
      <c r="D27" s="2">
        <v>50</v>
      </c>
      <c r="E27" s="18">
        <f t="shared" si="0"/>
        <v>58.335000000000001</v>
      </c>
      <c r="F27" s="2">
        <v>4</v>
      </c>
      <c r="G27" s="2">
        <v>3</v>
      </c>
      <c r="H27" s="18">
        <f t="shared" si="1"/>
        <v>58.333333333333336</v>
      </c>
      <c r="I27" s="2">
        <v>0</v>
      </c>
      <c r="J27" s="2">
        <v>0</v>
      </c>
      <c r="K27" s="18">
        <f t="shared" si="2"/>
        <v>58.333333333333336</v>
      </c>
      <c r="L27" s="2">
        <v>0</v>
      </c>
      <c r="M27" s="44">
        <v>0</v>
      </c>
      <c r="N27" s="18">
        <f t="shared" si="3"/>
        <v>58.333333333333336</v>
      </c>
      <c r="O27" s="44">
        <v>0</v>
      </c>
      <c r="P27" s="44">
        <v>0</v>
      </c>
      <c r="Q27" s="42">
        <f t="shared" si="4"/>
        <v>58.333333333333336</v>
      </c>
      <c r="R27" s="35"/>
      <c r="S27" s="28"/>
    </row>
    <row r="28" spans="1:19" ht="15.75" thickBot="1" x14ac:dyDescent="0.3">
      <c r="A28" s="181"/>
      <c r="B28" s="65" t="s">
        <v>9</v>
      </c>
      <c r="C28" s="62">
        <v>100</v>
      </c>
      <c r="D28" s="37">
        <v>83.33</v>
      </c>
      <c r="E28" s="54">
        <f t="shared" si="0"/>
        <v>91.664999999999992</v>
      </c>
      <c r="F28" s="37">
        <v>6</v>
      </c>
      <c r="G28" s="37">
        <v>5</v>
      </c>
      <c r="H28" s="54">
        <f t="shared" si="1"/>
        <v>91.666666666666671</v>
      </c>
      <c r="I28" s="32" t="s">
        <v>21</v>
      </c>
      <c r="J28" s="32">
        <v>0</v>
      </c>
      <c r="K28" s="54">
        <f t="shared" si="2"/>
        <v>91.666666666666671</v>
      </c>
      <c r="L28" s="32" t="s">
        <v>21</v>
      </c>
      <c r="M28" s="32">
        <v>0</v>
      </c>
      <c r="N28" s="54">
        <f t="shared" si="3"/>
        <v>91.666666666666671</v>
      </c>
      <c r="O28" s="32" t="s">
        <v>21</v>
      </c>
      <c r="P28" s="32">
        <v>0</v>
      </c>
      <c r="Q28" s="162">
        <f t="shared" si="4"/>
        <v>91.666666666666671</v>
      </c>
      <c r="R28" s="163"/>
      <c r="S28" s="164"/>
    </row>
    <row r="29" spans="1:19" x14ac:dyDescent="0.25">
      <c r="A29" s="171" t="s">
        <v>39</v>
      </c>
      <c r="B29" s="67" t="s">
        <v>10</v>
      </c>
      <c r="C29" s="68">
        <f>(C4+C9+C14+C19+C24)/5</f>
        <v>56.665999999999997</v>
      </c>
      <c r="D29" s="80">
        <f>(D4+D9+D14+D19+D24)/5</f>
        <v>86.665999999999997</v>
      </c>
      <c r="E29" s="108">
        <f>ROUNDUP((C29+D29)/2,1)</f>
        <v>71.699999999999989</v>
      </c>
      <c r="F29" s="79">
        <f>100*(F4+F9+F14+F19+F24)/30</f>
        <v>53.333333333333336</v>
      </c>
      <c r="G29" s="80">
        <f>100*(G4+G9+G14+G19+G24)/30</f>
        <v>83.333333333333329</v>
      </c>
      <c r="H29" s="114">
        <f>ROUNDUP((F29+G29)/2,1)</f>
        <v>68.399999999999991</v>
      </c>
      <c r="I29" s="94">
        <f>100*(F4+IF(I4="--",0,I4)+F9+IF(I9="--",0,I9)+F14+IF(I14="--",0,I14)+F19+IF(I19="--",0,I19)+F24+IF(I24="--",0,I24))/30</f>
        <v>56.666666666666664</v>
      </c>
      <c r="J29" s="96">
        <f>100*(G4+IF(J4="--",0,J4)+G9+IF(J9="--",0,J9)+G14+IF(J14="--",0,J14)+G19+IF(J19="--",0,J19)+G24+IF(J24="--",0,J24))/30</f>
        <v>83.333333333333329</v>
      </c>
      <c r="K29" s="114">
        <f>ROUNDUP((I29+J29)/2,1)</f>
        <v>70</v>
      </c>
      <c r="L29" s="94">
        <f>100*(F4+IF(I4="--",0,I4)+IF(L4="--",0,L4)+F9+IF(I9="--",0,I9)+IF(L9="--",0,L9)+F14+IF(I14="--",0,I14)+IF(L14="--",0,L14)+F19+IF(I19="--",0,I19)+IF(L19="--",0,L19)+F24+IF(I24="--",0,I24)+IF(L24="--",0,L24))/30</f>
        <v>56.666666666666664</v>
      </c>
      <c r="M29" s="111">
        <f>100*(G4+IF(J4="--",0,J4)+IF(M4="--",0,M4)+G9+IF(J9="--",0,J9)+IF(M9="--",0,M9)+G14+IF(J14="--",0,J14)+IF(M14="--",0,M14)+G19+IF(J19="--",0,J19)+IF(M19="--",0,M19)+G24+IF(J24="--",0,J24)+IF(M24="--",0,M24))/30</f>
        <v>83.333333333333329</v>
      </c>
      <c r="N29" s="114">
        <f>ROUNDUP((L29+M29)/2,1)</f>
        <v>70</v>
      </c>
      <c r="O29" s="94">
        <f>100*(F4+IF(I4="--",0,I4)+IF(L4="--",0,L4)+IF(O4="--",0,O4)+F9+IF(I9="--",0,I9)+IF(L9="--",0,L9)+IF(O9="--",0,O9)+F14+IF(I14="--",0,I14)+IF(L14="--",0,L14)+IF(O14="--",0,O14)+F19+IF(I19="--",0,I19)+IF(L19="--",0,L19)+IF(O19="--",0,O19)+F24+IF(I24="--",0,I24)+IF(L24="--",0,L24)+IF(O24="--",0,O24))/30</f>
        <v>56.666666666666664</v>
      </c>
      <c r="P29" s="111">
        <f>100*(G4+IF(J4="--",0,J4)+IF(M4="--",0,M4)+IF(P4="--",0,P4)+G9+IF(J9="--",0,J9)+IF(M9="--",0,M9)+IF(P9="--",0,P9)+G14+IF(J14="--",0,J14)+IF(M14="--",0,M14)+IF(P14="--",0,P14)+G19+IF(J19="--",0,J19)+IF(M19="--",0,M19)+IF(P19="--",0,P19)+G24+IF(J24="--",0,J24)+IF(M24="--",0,M24)+IF(P24="--",0,P24))/30</f>
        <v>86.666666666666671</v>
      </c>
      <c r="Q29" s="117">
        <f>ROUNDUP((O29+P29)/2,1)</f>
        <v>71.699999999999989</v>
      </c>
      <c r="R29"/>
      <c r="S29"/>
    </row>
    <row r="30" spans="1:19" x14ac:dyDescent="0.25">
      <c r="A30" s="172"/>
      <c r="B30" s="63" t="s">
        <v>22</v>
      </c>
      <c r="C30" s="71">
        <f t="shared" ref="C30:D33" si="5">(C5+C10+C15+C20+C25)/5</f>
        <v>100</v>
      </c>
      <c r="D30" s="82">
        <f t="shared" si="5"/>
        <v>100</v>
      </c>
      <c r="E30" s="109">
        <f t="shared" ref="E30:E33" si="6">ROUNDUP((C30+D30)/2,1)</f>
        <v>100</v>
      </c>
      <c r="F30" s="81">
        <f t="shared" ref="F30:G33" si="7">100*(F5+F10+F15+F20+F25)/30</f>
        <v>100</v>
      </c>
      <c r="G30" s="112">
        <f t="shared" si="7"/>
        <v>93.333333333333329</v>
      </c>
      <c r="H30" s="115">
        <f t="shared" ref="H30:H33" si="8">ROUNDUP((F30+G30)/2,1)</f>
        <v>96.699999999999989</v>
      </c>
      <c r="I30" s="97">
        <f t="shared" ref="I30:I33" si="9">100*(F5+IF(I5="--",0,I5)+F10+IF(I10="--",0,I10)+F15+IF(I15="--",0,I15)+F20+IF(I20="--",0,I20)+F25+IF(I25="--",0,I25))/30</f>
        <v>100</v>
      </c>
      <c r="J30" s="99">
        <f t="shared" ref="J30:J33" si="10">100*(G5+IF(J5="--",0,J5)+G10+IF(J10="--",0,J10)+G15+IF(J15="--",0,J15)+G20+IF(J20="--",0,J20)+G25+IF(J25="--",0,J25))/30</f>
        <v>100</v>
      </c>
      <c r="K30" s="115">
        <f t="shared" ref="K30:K33" si="11">ROUNDUP((I30+J30)/2,1)</f>
        <v>100</v>
      </c>
      <c r="L30" s="97">
        <f t="shared" ref="L30:L33" si="12">100*(F5+IF(I5="--",0,I5)+IF(L5="--",0,L5)+F10+IF(I10="--",0,I10)+IF(L10="--",0,L10)+F15+IF(I15="--",0,I15)+IF(L15="--",0,L15)+F20+IF(I20="--",0,I20)+IF(L20="--",0,L20)+F25+IF(I25="--",0,I25)+IF(L25="--",0,L25))/30</f>
        <v>100</v>
      </c>
      <c r="M30" s="112">
        <f t="shared" ref="M30:M33" si="13">100*(G5+IF(J5="--",0,J5)+IF(M5="--",0,M5)+G10+IF(J10="--",0,J10)+IF(M10="--",0,M10)+G15+IF(J15="--",0,J15)+IF(M15="--",0,M15)+G20+IF(J20="--",0,J20)+IF(M20="--",0,M20)+G25+IF(J25="--",0,J25)+IF(M25="--",0,M25))/30</f>
        <v>100</v>
      </c>
      <c r="N30" s="115">
        <f t="shared" ref="N30:N33" si="14">ROUNDUP((L30+M30)/2,1)</f>
        <v>100</v>
      </c>
      <c r="O30" s="97">
        <f t="shared" ref="O30:O33" si="15">100*(F5+IF(I5="--",0,I5)+IF(L5="--",0,L5)+IF(O5="--",0,O5)+F10+IF(I10="--",0,I10)+IF(L10="--",0,L10)+IF(O10="--",0,O10)+F15+IF(I15="--",0,I15)+IF(L15="--",0,L15)+IF(O15="--",0,O15)+F20+IF(I20="--",0,I20)+IF(L20="--",0,L20)+IF(O20="--",0,O20)+F25+IF(I25="--",0,I25)+IF(L25="--",0,L25)+IF(O25="--",0,O25))/30</f>
        <v>100</v>
      </c>
      <c r="P30" s="112">
        <f t="shared" ref="P30:P33" si="16">100*(G5+IF(J5="--",0,J5)+IF(M5="--",0,M5)+IF(P5="--",0,P5)+G10+IF(J10="--",0,J10)+IF(M10="--",0,M10)+IF(P10="--",0,P10)+G15+IF(J15="--",0,J15)+IF(M15="--",0,M15)+IF(P15="--",0,P15)+G20+IF(J20="--",0,J20)+IF(M20="--",0,M20)+IF(P20="--",0,P20)+G25+IF(J25="--",0,J25)+IF(M25="--",0,M25)+IF(P25="--",0,P25))/30</f>
        <v>100</v>
      </c>
      <c r="Q30" s="118">
        <f t="shared" ref="Q30:Q33" si="17">ROUNDUP((O30+P30)/2,1)</f>
        <v>100</v>
      </c>
      <c r="R30"/>
      <c r="S30" s="168" t="s">
        <v>46</v>
      </c>
    </row>
    <row r="31" spans="1:19" x14ac:dyDescent="0.25">
      <c r="A31" s="172"/>
      <c r="B31" s="63" t="s">
        <v>11</v>
      </c>
      <c r="C31" s="71">
        <f t="shared" si="5"/>
        <v>23.336000000000002</v>
      </c>
      <c r="D31" s="82">
        <f t="shared" si="5"/>
        <v>73.331999999999994</v>
      </c>
      <c r="E31" s="109">
        <f t="shared" si="6"/>
        <v>48.4</v>
      </c>
      <c r="F31" s="81">
        <f t="shared" si="7"/>
        <v>16.666666666666668</v>
      </c>
      <c r="G31" s="112">
        <f t="shared" si="7"/>
        <v>56.666666666666664</v>
      </c>
      <c r="H31" s="115">
        <f t="shared" si="8"/>
        <v>36.700000000000003</v>
      </c>
      <c r="I31" s="97">
        <f t="shared" si="9"/>
        <v>23.333333333333332</v>
      </c>
      <c r="J31" s="99">
        <f t="shared" si="10"/>
        <v>66.666666666666671</v>
      </c>
      <c r="K31" s="115">
        <f t="shared" si="11"/>
        <v>45</v>
      </c>
      <c r="L31" s="97">
        <f t="shared" si="12"/>
        <v>23.333333333333332</v>
      </c>
      <c r="M31" s="112">
        <f t="shared" si="13"/>
        <v>73.333333333333329</v>
      </c>
      <c r="N31" s="115">
        <f t="shared" si="14"/>
        <v>48.4</v>
      </c>
      <c r="O31" s="97">
        <f t="shared" si="15"/>
        <v>23.333333333333332</v>
      </c>
      <c r="P31" s="112">
        <f t="shared" si="16"/>
        <v>73.333333333333329</v>
      </c>
      <c r="Q31" s="118">
        <f t="shared" si="17"/>
        <v>48.4</v>
      </c>
      <c r="R31"/>
      <c r="S31" s="168" t="s">
        <v>47</v>
      </c>
    </row>
    <row r="32" spans="1:19" x14ac:dyDescent="0.25">
      <c r="A32" s="172"/>
      <c r="B32" s="64" t="s">
        <v>8</v>
      </c>
      <c r="C32" s="71">
        <f t="shared" si="5"/>
        <v>90</v>
      </c>
      <c r="D32" s="82">
        <f t="shared" si="5"/>
        <v>79.99799999999999</v>
      </c>
      <c r="E32" s="109">
        <f t="shared" si="6"/>
        <v>85</v>
      </c>
      <c r="F32" s="81">
        <f t="shared" si="7"/>
        <v>86.666666666666671</v>
      </c>
      <c r="G32" s="112">
        <f t="shared" si="7"/>
        <v>73.333333333333329</v>
      </c>
      <c r="H32" s="115">
        <f t="shared" si="8"/>
        <v>80</v>
      </c>
      <c r="I32" s="97">
        <f t="shared" si="9"/>
        <v>90</v>
      </c>
      <c r="J32" s="99">
        <f t="shared" si="10"/>
        <v>76.666666666666671</v>
      </c>
      <c r="K32" s="115">
        <f t="shared" si="11"/>
        <v>83.399999999999991</v>
      </c>
      <c r="L32" s="97">
        <f t="shared" si="12"/>
        <v>90</v>
      </c>
      <c r="M32" s="112">
        <f t="shared" si="13"/>
        <v>80</v>
      </c>
      <c r="N32" s="115">
        <f t="shared" si="14"/>
        <v>85</v>
      </c>
      <c r="O32" s="97">
        <f t="shared" si="15"/>
        <v>90</v>
      </c>
      <c r="P32" s="112">
        <f t="shared" si="16"/>
        <v>80</v>
      </c>
      <c r="Q32" s="118">
        <f t="shared" si="17"/>
        <v>85</v>
      </c>
      <c r="R32"/>
      <c r="S32" s="168" t="s">
        <v>48</v>
      </c>
    </row>
    <row r="33" spans="1:19" ht="15.75" thickBot="1" x14ac:dyDescent="0.3">
      <c r="A33" s="199"/>
      <c r="B33" s="65" t="s">
        <v>9</v>
      </c>
      <c r="C33" s="74">
        <f t="shared" si="5"/>
        <v>100</v>
      </c>
      <c r="D33" s="84">
        <f t="shared" si="5"/>
        <v>90</v>
      </c>
      <c r="E33" s="110">
        <f t="shared" si="6"/>
        <v>95</v>
      </c>
      <c r="F33" s="83">
        <f t="shared" si="7"/>
        <v>100</v>
      </c>
      <c r="G33" s="113">
        <f t="shared" si="7"/>
        <v>90</v>
      </c>
      <c r="H33" s="116">
        <f t="shared" si="8"/>
        <v>95</v>
      </c>
      <c r="I33" s="100">
        <f t="shared" si="9"/>
        <v>100</v>
      </c>
      <c r="J33" s="101">
        <f t="shared" si="10"/>
        <v>90</v>
      </c>
      <c r="K33" s="116">
        <f t="shared" si="11"/>
        <v>95</v>
      </c>
      <c r="L33" s="100">
        <f t="shared" si="12"/>
        <v>100</v>
      </c>
      <c r="M33" s="113">
        <f t="shared" si="13"/>
        <v>90</v>
      </c>
      <c r="N33" s="116">
        <f t="shared" si="14"/>
        <v>95</v>
      </c>
      <c r="O33" s="100">
        <f t="shared" si="15"/>
        <v>100</v>
      </c>
      <c r="P33" s="113">
        <f t="shared" si="16"/>
        <v>90</v>
      </c>
      <c r="Q33" s="119">
        <f t="shared" si="17"/>
        <v>95</v>
      </c>
      <c r="R33"/>
      <c r="S33" s="168" t="s">
        <v>49</v>
      </c>
    </row>
    <row r="34" spans="1:19" x14ac:dyDescent="0.25">
      <c r="A34" s="173" t="s">
        <v>42</v>
      </c>
      <c r="B34" s="67" t="s">
        <v>10</v>
      </c>
      <c r="G34"/>
      <c r="H34"/>
      <c r="I34" s="79">
        <f>6-F4-IF(I4="--",0,I4)+6-F9-IF(I9="--",0,I9)+6-F14-IF(I14="--",0,I14)+6-F19-IF(I19="--",0,I19)+6-F24-IF(I24="--",0,I24)</f>
        <v>13</v>
      </c>
      <c r="J34" s="70">
        <f>6-G4-IF(J4="--",0,J4)+6-G9-IF(J9="--",0,J9)+6-G14-IF(J14="--",0,J14)+6-G19-IF(J19="--",0,J19)+6-G24-IF(J24="--",0,J24)</f>
        <v>5</v>
      </c>
      <c r="K34" s="108">
        <f>I34+J34</f>
        <v>18</v>
      </c>
      <c r="L34" s="94">
        <f>6-F4-IF(I4="--",0,I4)-IF(L4="--",0,L4)+6-F9-IF(I9="--",0,I9)-IF(L9="--",0,L9)+6-F14-IF(I14="--",0,I14)-IF(L14="--",0,L14)+6-F19-IF(I19="--",0,I19)-IF(L19="--",0,L19)+6-F24-IF(I24="--",0,I24)-IF(L24="--",0,L24)</f>
        <v>13</v>
      </c>
      <c r="M34" s="111">
        <f>6-G4-IF(J4="--",0,J4)-IF(M4="--",0,M4)+6-G9-IF(J9="--",0,J9)-IF(M9="--",0,M9)+6-G14-IF(J14="--",0,J14)-IF(M14="--",0,M14)+6-G19-IF(J19="--",0,J19)-IF(M19="--",0,M19)+6-G24-IF(J24="--",0,J24)-IF(M24="--",0,M24)</f>
        <v>5</v>
      </c>
      <c r="N34" s="108">
        <f>L34+M34</f>
        <v>18</v>
      </c>
      <c r="O34" s="94">
        <f>6-F4-IF(I4="--",0,I4)-IF(L4="--",0,L4)-IF(O4="--",0,O4)+6-F9-IF(I9="--",0,I9)-IF(L9="--",0,L9)-IF(L9="--",0,L9)+6-F14-IF(I14="--",0,I14)-IF(L14="--",0,L14)-IF(L14="--",0,L14)+6-F19-IF(I19="--",0,I19)-IF(L19="--",0,L19)-IF(L19="--",0,L19)+6-F24-IF(I24="--",0,I24)-IF(L24="--",0,L24)-IF(L24="--",0,L24)</f>
        <v>13</v>
      </c>
      <c r="P34" s="111">
        <f>6-G4-IF(J4="--",0,J4)-IF(M4="--",0,M4)-IF(P4="--",0,P4)+6-G9-IF(J9="--",0,J9)-IF(M9="--",0,M9)-IF(M9="--",0,M9)+6-G14-IF(J14="--",0,J14)-IF(M14="--",0,M14)-IF(M14="--",0,M14)+6-G19-IF(J19="--",0,J19)-IF(M19="--",0,M19)-IF(M19="--",0,M19)+6-G24-IF(J24="--",0,J24)-IF(M24="--",0,M24)-IF(M24="--",0,M24)</f>
        <v>5</v>
      </c>
      <c r="Q34" s="108">
        <f>O34+P34</f>
        <v>18</v>
      </c>
    </row>
    <row r="35" spans="1:19" x14ac:dyDescent="0.25">
      <c r="A35" s="174"/>
      <c r="B35" s="63" t="s">
        <v>22</v>
      </c>
      <c r="G35"/>
      <c r="H35"/>
      <c r="I35" s="81">
        <f t="shared" ref="I35:J38" si="18">6-F5-IF(I5="--",0,I5)+6-F10-IF(I10="--",0,I10)+6-F15-IF(I15="--",0,I15)+6-F20-IF(I20="--",0,I20)+6-F25-IF(I25="--",0,I25)</f>
        <v>0</v>
      </c>
      <c r="J35" s="73">
        <f t="shared" si="18"/>
        <v>0</v>
      </c>
      <c r="K35" s="109">
        <f t="shared" ref="K35:K38" si="19">I35+J35</f>
        <v>0</v>
      </c>
      <c r="L35" s="97">
        <f t="shared" ref="L35:M38" si="20">6-F5-IF(I5="--",0,I5)-IF(L5="--",0,L5)+6-F10-IF(I10="--",0,I10)-IF(L10="--",0,L10)+6-F15-IF(I15="--",0,I15)-IF(L15="--",0,L15)+6-F20-IF(I20="--",0,I20)-IF(L20="--",0,L20)+6-F25-IF(I25="--",0,I25)-IF(L25="--",0,L25)</f>
        <v>0</v>
      </c>
      <c r="M35" s="112">
        <f t="shared" si="20"/>
        <v>0</v>
      </c>
      <c r="N35" s="109">
        <f t="shared" ref="N35:N38" si="21">L35+M35</f>
        <v>0</v>
      </c>
      <c r="O35" s="97">
        <f t="shared" ref="O35:P38" si="22">6-F5-IF(I5="--",0,I5)-IF(L5="--",0,L5)-IF(O5="--",0,O5)+6-F10-IF(I10="--",0,I10)-IF(L10="--",0,L10)-IF(L10="--",0,L10)+6-F15-IF(I15="--",0,I15)-IF(L15="--",0,L15)-IF(L15="--",0,L15)+6-F20-IF(I20="--",0,I20)-IF(L20="--",0,L20)-IF(L20="--",0,L20)+6-F25-IF(I25="--",0,I25)-IF(L25="--",0,L25)-IF(L25="--",0,L25)</f>
        <v>0</v>
      </c>
      <c r="P35" s="112">
        <f t="shared" si="22"/>
        <v>0</v>
      </c>
      <c r="Q35" s="109">
        <f t="shared" ref="Q35:Q38" si="23">O35+P35</f>
        <v>0</v>
      </c>
    </row>
    <row r="36" spans="1:19" x14ac:dyDescent="0.25">
      <c r="A36" s="174"/>
      <c r="B36" s="63" t="s">
        <v>11</v>
      </c>
      <c r="G36"/>
      <c r="H36"/>
      <c r="I36" s="81">
        <f t="shared" si="18"/>
        <v>23</v>
      </c>
      <c r="J36" s="73">
        <f t="shared" si="18"/>
        <v>10</v>
      </c>
      <c r="K36" s="109">
        <f t="shared" si="19"/>
        <v>33</v>
      </c>
      <c r="L36" s="97">
        <f t="shared" si="20"/>
        <v>23</v>
      </c>
      <c r="M36" s="112">
        <f t="shared" si="20"/>
        <v>8</v>
      </c>
      <c r="N36" s="109">
        <f t="shared" si="21"/>
        <v>31</v>
      </c>
      <c r="O36" s="97">
        <f t="shared" si="22"/>
        <v>23</v>
      </c>
      <c r="P36" s="112">
        <f t="shared" si="22"/>
        <v>6</v>
      </c>
      <c r="Q36" s="109">
        <f t="shared" si="23"/>
        <v>29</v>
      </c>
    </row>
    <row r="37" spans="1:19" x14ac:dyDescent="0.25">
      <c r="A37" s="174"/>
      <c r="B37" s="64" t="s">
        <v>8</v>
      </c>
      <c r="G37"/>
      <c r="H37"/>
      <c r="I37" s="81">
        <f t="shared" si="18"/>
        <v>3</v>
      </c>
      <c r="J37" s="73">
        <f t="shared" si="18"/>
        <v>7</v>
      </c>
      <c r="K37" s="109">
        <f t="shared" si="19"/>
        <v>10</v>
      </c>
      <c r="L37" s="97">
        <f t="shared" si="20"/>
        <v>3</v>
      </c>
      <c r="M37" s="112">
        <f t="shared" si="20"/>
        <v>6</v>
      </c>
      <c r="N37" s="109">
        <f t="shared" si="21"/>
        <v>9</v>
      </c>
      <c r="O37" s="97">
        <f t="shared" si="22"/>
        <v>3</v>
      </c>
      <c r="P37" s="112">
        <f t="shared" si="22"/>
        <v>5</v>
      </c>
      <c r="Q37" s="109">
        <f t="shared" si="23"/>
        <v>8</v>
      </c>
    </row>
    <row r="38" spans="1:19" ht="15.75" thickBot="1" x14ac:dyDescent="0.3">
      <c r="A38" s="175"/>
      <c r="B38" s="65" t="s">
        <v>9</v>
      </c>
      <c r="G38"/>
      <c r="H38"/>
      <c r="I38" s="83">
        <f t="shared" si="18"/>
        <v>0</v>
      </c>
      <c r="J38" s="76">
        <f t="shared" si="18"/>
        <v>3</v>
      </c>
      <c r="K38" s="110">
        <f t="shared" si="19"/>
        <v>3</v>
      </c>
      <c r="L38" s="144">
        <f t="shared" si="20"/>
        <v>0</v>
      </c>
      <c r="M38" s="158">
        <f t="shared" si="20"/>
        <v>3</v>
      </c>
      <c r="N38" s="110">
        <f t="shared" si="21"/>
        <v>3</v>
      </c>
      <c r="O38" s="144">
        <f t="shared" si="22"/>
        <v>0</v>
      </c>
      <c r="P38" s="158">
        <f t="shared" si="22"/>
        <v>3</v>
      </c>
      <c r="Q38" s="110">
        <f t="shared" si="23"/>
        <v>3</v>
      </c>
    </row>
    <row r="39" spans="1:19" x14ac:dyDescent="0.25">
      <c r="A39" s="173" t="s">
        <v>43</v>
      </c>
      <c r="B39" s="67" t="s">
        <v>10</v>
      </c>
      <c r="G39"/>
      <c r="H39"/>
      <c r="I39" s="79">
        <f>6-F4+6-F9+6-F14+6-F19+6-F24</f>
        <v>14</v>
      </c>
      <c r="J39" s="70">
        <f>6-G4+6-G9+6-G14+6-G19+6-G24</f>
        <v>5</v>
      </c>
      <c r="K39" s="114">
        <f>I39+J39</f>
        <v>19</v>
      </c>
      <c r="L39" s="94">
        <f>6-F4-IF(I4="--",0,I4)+6-F9-IF(I9="--",0,I9)+6-F14-IF(I14="--",0,I14)+6-F19-IF(I19="--",0,I19)+6-F24-IF(I24="--",0,I24)</f>
        <v>13</v>
      </c>
      <c r="M39" s="96">
        <f>6-G4-IF(J4="--",0,J4)+6-G9-IF(J9="--",0,J9)+6-G14-IF(J14="--",0,J14)+6-G19-IF(J19="--",0,J19)+6-G24-IF(J24="--",0,J24)</f>
        <v>5</v>
      </c>
      <c r="N39" s="114">
        <f>L39+M39</f>
        <v>18</v>
      </c>
      <c r="O39" s="94">
        <f>6-F4-IF(I4="--",0,I4)-IF(L4="--",0,L4)+6-F9-IF(I9="--",0,I9)-IF(L9="--",0,L9)+6-F14-IF(I14="--",0,I14)-IF(L14="--",0,L14)+6-F19-IF(I19="--",0,I19)-IF(L19="--",0,L19)+6-F24-IF(I24="--",0,I24)-IF(L24="--",0,L24)</f>
        <v>13</v>
      </c>
      <c r="P39" s="111">
        <f>6-G4-IF(J4="--",0,J4)-IF(M4="--",0,M4)+6-G9-IF(J9="--",0,J9)-IF(M9="--",0,M9)+6-G14-IF(J14="--",0,J14)-IF(M14="--",0,M14)+6-G19-IF(J19="--",0,J19)-IF(M19="--",0,M19)+6-G24-IF(J24="--",0,J24)-IF(M24="--",0,M24)</f>
        <v>5</v>
      </c>
      <c r="Q39" s="108">
        <f>O39+P39</f>
        <v>18</v>
      </c>
    </row>
    <row r="40" spans="1:19" x14ac:dyDescent="0.25">
      <c r="A40" s="174"/>
      <c r="B40" s="63" t="s">
        <v>22</v>
      </c>
      <c r="G40"/>
      <c r="H40"/>
      <c r="I40" s="81">
        <f t="shared" ref="I40:J43" si="24">6-F5+6-F10+6-F15+6-F20+6-F25</f>
        <v>0</v>
      </c>
      <c r="J40" s="73">
        <f t="shared" si="24"/>
        <v>2</v>
      </c>
      <c r="K40" s="115">
        <f t="shared" ref="K40:K43" si="25">I40+J40</f>
        <v>2</v>
      </c>
      <c r="L40" s="97">
        <f t="shared" ref="L40:M43" si="26">6-F5-IF(I5="--",0,I5)+6-F10-IF(I10="--",0,I10)+6-F15-IF(I15="--",0,I15)+6-F20-IF(I20="--",0,I20)+6-F25-IF(I25="--",0,I25)</f>
        <v>0</v>
      </c>
      <c r="M40" s="99">
        <f t="shared" si="26"/>
        <v>0</v>
      </c>
      <c r="N40" s="115">
        <f t="shared" ref="N40:N43" si="27">L40+M40</f>
        <v>0</v>
      </c>
      <c r="O40" s="97">
        <f t="shared" ref="O40:P43" si="28">6-F5-IF(I5="--",0,I5)-IF(L5="--",0,L5)+6-F10-IF(I10="--",0,I10)-IF(L10="--",0,L10)+6-F15-IF(I15="--",0,I15)-IF(L15="--",0,L15)+6-F20-IF(I20="--",0,I20)-IF(L20="--",0,L20)+6-F25-IF(I25="--",0,I25)-IF(L25="--",0,L25)</f>
        <v>0</v>
      </c>
      <c r="P40" s="112">
        <f t="shared" si="28"/>
        <v>0</v>
      </c>
      <c r="Q40" s="109">
        <f t="shared" ref="Q40:Q43" si="29">O40+P40</f>
        <v>0</v>
      </c>
    </row>
    <row r="41" spans="1:19" x14ac:dyDescent="0.25">
      <c r="A41" s="174"/>
      <c r="B41" s="63" t="s">
        <v>11</v>
      </c>
      <c r="G41"/>
      <c r="H41"/>
      <c r="I41" s="81">
        <f t="shared" si="24"/>
        <v>25</v>
      </c>
      <c r="J41" s="73">
        <f t="shared" si="24"/>
        <v>13</v>
      </c>
      <c r="K41" s="115">
        <f t="shared" si="25"/>
        <v>38</v>
      </c>
      <c r="L41" s="97">
        <f t="shared" si="26"/>
        <v>23</v>
      </c>
      <c r="M41" s="99">
        <f t="shared" si="26"/>
        <v>10</v>
      </c>
      <c r="N41" s="115">
        <f t="shared" si="27"/>
        <v>33</v>
      </c>
      <c r="O41" s="97">
        <f t="shared" si="28"/>
        <v>23</v>
      </c>
      <c r="P41" s="112">
        <f t="shared" si="28"/>
        <v>8</v>
      </c>
      <c r="Q41" s="109">
        <f t="shared" si="29"/>
        <v>31</v>
      </c>
    </row>
    <row r="42" spans="1:19" x14ac:dyDescent="0.25">
      <c r="A42" s="174"/>
      <c r="B42" s="64" t="s">
        <v>8</v>
      </c>
      <c r="G42"/>
      <c r="H42"/>
      <c r="I42" s="81">
        <f t="shared" si="24"/>
        <v>4</v>
      </c>
      <c r="J42" s="73">
        <f t="shared" si="24"/>
        <v>8</v>
      </c>
      <c r="K42" s="115">
        <f t="shared" si="25"/>
        <v>12</v>
      </c>
      <c r="L42" s="97">
        <f t="shared" si="26"/>
        <v>3</v>
      </c>
      <c r="M42" s="99">
        <f t="shared" si="26"/>
        <v>7</v>
      </c>
      <c r="N42" s="115">
        <f t="shared" si="27"/>
        <v>10</v>
      </c>
      <c r="O42" s="97">
        <f t="shared" si="28"/>
        <v>3</v>
      </c>
      <c r="P42" s="112">
        <f t="shared" si="28"/>
        <v>6</v>
      </c>
      <c r="Q42" s="109">
        <f t="shared" si="29"/>
        <v>9</v>
      </c>
    </row>
    <row r="43" spans="1:19" ht="15.75" thickBot="1" x14ac:dyDescent="0.3">
      <c r="A43" s="175"/>
      <c r="B43" s="65" t="s">
        <v>9</v>
      </c>
      <c r="G43"/>
      <c r="H43"/>
      <c r="I43" s="120">
        <f t="shared" si="24"/>
        <v>0</v>
      </c>
      <c r="J43" s="122">
        <f t="shared" si="24"/>
        <v>3</v>
      </c>
      <c r="K43" s="157">
        <f t="shared" si="25"/>
        <v>3</v>
      </c>
      <c r="L43" s="100">
        <f t="shared" si="26"/>
        <v>0</v>
      </c>
      <c r="M43" s="101">
        <f t="shared" si="26"/>
        <v>3</v>
      </c>
      <c r="N43" s="157">
        <f t="shared" si="27"/>
        <v>3</v>
      </c>
      <c r="O43" s="144">
        <f t="shared" si="28"/>
        <v>0</v>
      </c>
      <c r="P43" s="158">
        <f t="shared" si="28"/>
        <v>3</v>
      </c>
      <c r="Q43" s="110">
        <f t="shared" si="29"/>
        <v>3</v>
      </c>
    </row>
    <row r="44" spans="1:19" x14ac:dyDescent="0.25">
      <c r="A44" s="173" t="s">
        <v>44</v>
      </c>
      <c r="B44" s="67" t="s">
        <v>10</v>
      </c>
      <c r="G44"/>
      <c r="H44"/>
      <c r="I44" s="79">
        <f t="shared" ref="I44:Q44" si="30">IF(I39=0,0,100*I34/I39)</f>
        <v>92.857142857142861</v>
      </c>
      <c r="J44" s="80">
        <f t="shared" si="30"/>
        <v>100</v>
      </c>
      <c r="K44" s="108">
        <f t="shared" si="30"/>
        <v>94.736842105263165</v>
      </c>
      <c r="L44" s="79">
        <f t="shared" si="30"/>
        <v>100</v>
      </c>
      <c r="M44" s="70">
        <f t="shared" si="30"/>
        <v>100</v>
      </c>
      <c r="N44" s="114">
        <f t="shared" si="30"/>
        <v>100</v>
      </c>
      <c r="O44" s="79">
        <f t="shared" si="30"/>
        <v>100</v>
      </c>
      <c r="P44" s="80">
        <f t="shared" si="30"/>
        <v>100</v>
      </c>
      <c r="Q44" s="108">
        <f t="shared" si="30"/>
        <v>100</v>
      </c>
    </row>
    <row r="45" spans="1:19" x14ac:dyDescent="0.25">
      <c r="A45" s="176"/>
      <c r="B45" s="63" t="s">
        <v>22</v>
      </c>
      <c r="G45"/>
      <c r="H45"/>
      <c r="I45" s="81">
        <f t="shared" ref="I45:Q48" si="31">IF(I40=0,0,100*I35/I40)</f>
        <v>0</v>
      </c>
      <c r="J45" s="82">
        <f t="shared" si="31"/>
        <v>0</v>
      </c>
      <c r="K45" s="109">
        <f t="shared" si="31"/>
        <v>0</v>
      </c>
      <c r="L45" s="132">
        <f t="shared" si="31"/>
        <v>0</v>
      </c>
      <c r="M45" s="134">
        <f t="shared" si="31"/>
        <v>0</v>
      </c>
      <c r="N45" s="115">
        <f t="shared" si="31"/>
        <v>0</v>
      </c>
      <c r="O45" s="81">
        <f t="shared" si="31"/>
        <v>0</v>
      </c>
      <c r="P45" s="82">
        <f t="shared" si="31"/>
        <v>0</v>
      </c>
      <c r="Q45" s="109">
        <f t="shared" si="31"/>
        <v>0</v>
      </c>
    </row>
    <row r="46" spans="1:19" x14ac:dyDescent="0.25">
      <c r="A46" s="176"/>
      <c r="B46" s="63" t="s">
        <v>11</v>
      </c>
      <c r="G46"/>
      <c r="H46"/>
      <c r="I46" s="81">
        <f t="shared" si="31"/>
        <v>92</v>
      </c>
      <c r="J46" s="82">
        <f t="shared" si="31"/>
        <v>76.92307692307692</v>
      </c>
      <c r="K46" s="109">
        <f t="shared" si="31"/>
        <v>86.84210526315789</v>
      </c>
      <c r="L46" s="132">
        <f t="shared" si="31"/>
        <v>100</v>
      </c>
      <c r="M46" s="134">
        <f t="shared" si="31"/>
        <v>80</v>
      </c>
      <c r="N46" s="115">
        <f t="shared" si="31"/>
        <v>93.939393939393938</v>
      </c>
      <c r="O46" s="81">
        <f t="shared" si="31"/>
        <v>100</v>
      </c>
      <c r="P46" s="82">
        <f t="shared" si="31"/>
        <v>75</v>
      </c>
      <c r="Q46" s="109">
        <f t="shared" si="31"/>
        <v>93.548387096774192</v>
      </c>
    </row>
    <row r="47" spans="1:19" x14ac:dyDescent="0.25">
      <c r="A47" s="176"/>
      <c r="B47" s="64" t="s">
        <v>8</v>
      </c>
      <c r="G47"/>
      <c r="H47"/>
      <c r="I47" s="81">
        <f t="shared" si="31"/>
        <v>75</v>
      </c>
      <c r="J47" s="82">
        <f t="shared" si="31"/>
        <v>87.5</v>
      </c>
      <c r="K47" s="109">
        <f t="shared" si="31"/>
        <v>83.333333333333329</v>
      </c>
      <c r="L47" s="132">
        <f t="shared" si="31"/>
        <v>100</v>
      </c>
      <c r="M47" s="134">
        <f t="shared" si="31"/>
        <v>85.714285714285708</v>
      </c>
      <c r="N47" s="115">
        <f t="shared" si="31"/>
        <v>90</v>
      </c>
      <c r="O47" s="81">
        <f t="shared" si="31"/>
        <v>100</v>
      </c>
      <c r="P47" s="82">
        <f t="shared" si="31"/>
        <v>83.333333333333329</v>
      </c>
      <c r="Q47" s="109">
        <f t="shared" si="31"/>
        <v>88.888888888888886</v>
      </c>
    </row>
    <row r="48" spans="1:19" ht="15.75" thickBot="1" x14ac:dyDescent="0.3">
      <c r="A48" s="177"/>
      <c r="B48" s="65" t="s">
        <v>9</v>
      </c>
      <c r="G48"/>
      <c r="H48"/>
      <c r="I48" s="83">
        <f t="shared" si="31"/>
        <v>0</v>
      </c>
      <c r="J48" s="84">
        <f t="shared" si="31"/>
        <v>100</v>
      </c>
      <c r="K48" s="110">
        <f t="shared" si="31"/>
        <v>100</v>
      </c>
      <c r="L48" s="140">
        <f t="shared" si="31"/>
        <v>0</v>
      </c>
      <c r="M48" s="159">
        <f t="shared" si="31"/>
        <v>100</v>
      </c>
      <c r="N48" s="116">
        <f t="shared" si="31"/>
        <v>100</v>
      </c>
      <c r="O48" s="83">
        <f t="shared" si="31"/>
        <v>0</v>
      </c>
      <c r="P48" s="84">
        <f t="shared" si="31"/>
        <v>100</v>
      </c>
      <c r="Q48" s="110">
        <f t="shared" si="31"/>
        <v>100</v>
      </c>
    </row>
    <row r="49" spans="7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7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7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7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7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7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7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7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7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7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7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7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</sheetData>
  <mergeCells count="16">
    <mergeCell ref="C1:S1"/>
    <mergeCell ref="C2:E2"/>
    <mergeCell ref="F2:H2"/>
    <mergeCell ref="I2:K2"/>
    <mergeCell ref="L2:N2"/>
    <mergeCell ref="O2:Q2"/>
    <mergeCell ref="A24:A28"/>
    <mergeCell ref="R2:S2"/>
    <mergeCell ref="A34:A38"/>
    <mergeCell ref="A39:A43"/>
    <mergeCell ref="A44:A48"/>
    <mergeCell ref="A29:A33"/>
    <mergeCell ref="A4:A8"/>
    <mergeCell ref="A9:A13"/>
    <mergeCell ref="A14:A18"/>
    <mergeCell ref="A19:A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 centers</vt:lpstr>
      <vt:lpstr>vehicles</vt:lpstr>
      <vt:lpstr>automata</vt:lpstr>
      <vt:lpstr>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from_atom3.py_import_atom3 from_atom3.py_import_atom3</dc:creator>
  <cp:lastModifiedBy>from_atom3.py_import_atom3 from_atom3.py_import_atom3</cp:lastModifiedBy>
  <dcterms:created xsi:type="dcterms:W3CDTF">2025-09-09T16:17:38Z</dcterms:created>
  <dcterms:modified xsi:type="dcterms:W3CDTF">2025-12-07T11:26:24Z</dcterms:modified>
</cp:coreProperties>
</file>