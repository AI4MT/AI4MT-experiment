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2.png" ContentType="image/png"/>
  <Override PartName="/xl/media/image23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Vs" sheetId="1" state="visible" r:id="rId2"/>
    <sheet name="DCs" sheetId="2" state="visible" r:id="rId3"/>
    <sheet name="DFAs" sheetId="3" state="visible" r:id="rId4"/>
    <sheet name="Words" sheetId="4" state="visible" r:id="rId5"/>
    <sheet name="General_complexity_comparison" sheetId="5" state="visible" r:id="rId6"/>
    <sheet name="raw_data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<sst xmlns="http://schemas.openxmlformats.org/spreadsheetml/2006/main" count="990" uniqueCount="261">
  <si>
    <t xml:space="preserve">Domain</t>
  </si>
  <si>
    <t xml:space="preserve">MR_ID</t>
  </si>
  <si>
    <t xml:space="preserve">TS</t>
  </si>
  <si>
    <t xml:space="preserve">Depth</t>
  </si>
  <si>
    <t xml:space="preserve">Leaves</t>
  </si>
  <si>
    <t xml:space="preserve">BF</t>
  </si>
  <si>
    <t xml:space="preserve">CC</t>
  </si>
  <si>
    <t xml:space="preserve">N1</t>
  </si>
  <si>
    <t xml:space="preserve">N2</t>
  </si>
  <si>
    <t xml:space="preserve">n1_unique_ops</t>
  </si>
  <si>
    <t xml:space="preserve">n2_unique_opds</t>
  </si>
  <si>
    <t xml:space="preserve">N_length</t>
  </si>
  <si>
    <t xml:space="preserve">n_vocabulary</t>
  </si>
  <si>
    <t xml:space="preserve">Halstead_V</t>
  </si>
  <si>
    <t xml:space="preserve">Halstead_D</t>
  </si>
  <si>
    <t xml:space="preserve">Halstead_E</t>
  </si>
  <si>
    <t xml:space="preserve">Operators_detail</t>
  </si>
  <si>
    <t xml:space="preserve">Raw Mrs</t>
  </si>
  <si>
    <t xml:space="preserve">AVs</t>
  </si>
  <si>
    <t xml:space="preserve">Human written</t>
  </si>
  <si>
    <t xml:space="preserve">example-detailed-MR1</t>
  </si>
  <si>
    <t xml:space="preserve">COMP(&gt;), AND, COMP(&gt;=), COMP(&gt;=)</t>
  </si>
  <si>
    <t xml:space="preserve">NS(m1) &gt; NS(m2) '=&gt; TTD(m2) &gt;= TTD(m1) AND D(m2) &gt;= D(m1)</t>
  </si>
  <si>
    <t xml:space="preserve">example-detailed-MR2</t>
  </si>
  <si>
    <t xml:space="preserve">OC(m1) &gt; OC(m2) '=&gt; TTD(m1) &gt;= TTD(m2) AND D(m1) &gt;= D(m2)</t>
  </si>
  <si>
    <t xml:space="preserve">example-detailed-MR3</t>
  </si>
  <si>
    <t xml:space="preserve">WPC(m1) &gt; WPC(m2) '=&gt; TTD(m1) &gt;= TTD(m2) AND D(m1) &gt;= D(m2)</t>
  </si>
  <si>
    <t xml:space="preserve">Avg</t>
  </si>
  <si>
    <t xml:space="preserve">AI written</t>
  </si>
  <si>
    <t xml:space="preserve">example-detailed-MR4</t>
  </si>
  <si>
    <t xml:space="preserve">COMP(&gt;), COMP(&lt;=)</t>
  </si>
  <si>
    <t xml:space="preserve">MS(m1) &gt; MS(m2) '=&gt; TTD(m1) &lt;= TTD(m2)</t>
  </si>
  <si>
    <t xml:space="preserve">example-detailed-MR5</t>
  </si>
  <si>
    <t xml:space="preserve">AVG(m1) &gt; AVG(m2) '=&gt; D(m1) &lt;= D(m2)</t>
  </si>
  <si>
    <t xml:space="preserve">example-detailed-MR6</t>
  </si>
  <si>
    <t xml:space="preserve">ARG(m1) &gt; ARG(m2) '=&gt; BAL(m1) &lt;= BAL(m2)</t>
  </si>
  <si>
    <t xml:space="preserve">example-noMR-MR2</t>
  </si>
  <si>
    <t xml:space="preserve">COMP(&lt;), COMP(&gt;=)</t>
  </si>
  <si>
    <t xml:space="preserve">OC(m1) &lt; OC(m2) '=&gt; D(m1) &gt;= D(m2)</t>
  </si>
  <si>
    <t xml:space="preserve">example-noIF-MR4</t>
  </si>
  <si>
    <t xml:space="preserve">COMP(&gt;), AND, COMP(&lt;=), COMP(&lt;=)</t>
  </si>
  <si>
    <t xml:space="preserve">MS(m1) &gt; MS(m2) '=&gt; TTD(m1) &lt;= TTD(m2) AND ED(m1) &lt;= ED(m2)</t>
  </si>
  <si>
    <t xml:space="preserve">example-noIF-MR6</t>
  </si>
  <si>
    <t xml:space="preserve">ARG(m1) &gt; ARG(m2) '=&gt; TTD(m1) &lt;= TTD(m2) AND ED(m1) &lt;= ED(m2)</t>
  </si>
  <si>
    <t xml:space="preserve">example-none-MR4</t>
  </si>
  <si>
    <t xml:space="preserve">MS(m1) &lt; MS(m2) '=&gt; D(m1) &gt;= D(m2)</t>
  </si>
  <si>
    <t xml:space="preserve">noexample-detailed-MR4</t>
  </si>
  <si>
    <t xml:space="preserve">MS(m1) &gt; MS(m2) '=&gt; TTD(m1) &gt;= TTD(m2) AND D(m1) &gt;= D(m2)</t>
  </si>
  <si>
    <t xml:space="preserve">noexample-detailed-MR6</t>
  </si>
  <si>
    <t xml:space="preserve">ARG(m1) &gt; ARG(m2) '=&gt; TTD(m1) &gt;= TTD(m2) AND D(m1) &gt;= D(m2)</t>
  </si>
  <si>
    <t xml:space="preserve">noexample-noIF-MR4</t>
  </si>
  <si>
    <t xml:space="preserve">COMP(&gt;), AND, COMP(&lt;=), COMP(&gt;=)</t>
  </si>
  <si>
    <t xml:space="preserve">MS(m1) &gt; MS(m2) '=&gt; TTD(m1) &lt;= TTD(m2) AND ED(m1) &gt;= ED(m2)</t>
  </si>
  <si>
    <t xml:space="preserve">noexample-noIF-MR6</t>
  </si>
  <si>
    <t xml:space="preserve">COMP(&lt;), AND, COMP(&gt;=), COMP(&lt;=)</t>
  </si>
  <si>
    <t xml:space="preserve">ARG(m1) &lt; ARG(m2) '=&gt; TTD(m1) &gt;= TTD(m2) AND ED(m1) &lt;= ED(m2)</t>
  </si>
  <si>
    <t xml:space="preserve">Conclusiones:</t>
  </si>
  <si>
    <t xml:space="preserve">* En términos de complejidad y volumen, la propuesta genera reglas similares a las diseñadas por un humano, ligeramente inferiores en algunos casos, y superiores en otros</t>
  </si>
  <si>
    <r>
      <rPr>
        <sz val="21"/>
        <rFont val="Arial"/>
        <family val="2"/>
      </rPr>
      <t xml:space="preserve">←</t>
    </r>
    <r>
      <rPr>
        <sz val="10"/>
        <rFont val="Arial"/>
        <family val="2"/>
      </rPr>
      <t xml:space="preserve">Dejo aqui las distancias TED normalizadas</t>
    </r>
  </si>
  <si>
    <t xml:space="preserve">LEGEND</t>
  </si>
  <si>
    <t xml:space="preserve">* Se encuentran patrones entre la complejidad de las reglas y la similaridad de la matriz</t>
  </si>
  <si>
    <t xml:space="preserve">SUT domain (AVs / DCs / DFAs / Words)</t>
  </si>
  <si>
    <t xml:space="preserve">-</t>
  </si>
  <si>
    <t xml:space="preserve">Ver como las 3 generadas por humanos son casi idénticas, únicamente cambia una comparación al final de la primera regla, swap entre m1 y m2</t>
  </si>
  <si>
    <t xml:space="preserve">Metamorphic Relation identifier (group-category-MRn)</t>
  </si>
  <si>
    <t xml:space="preserve">La más diferente es entre la MR1 original, y example-noMR-MR2, cuya diferencia entre complejidad es la mayor</t>
  </si>
  <si>
    <t xml:space="preserve">Tree_Size</t>
  </si>
  <si>
    <t xml:space="preserve">Total number of nodes in the unsimplified parse tree</t>
  </si>
  <si>
    <t xml:space="preserve">Sin embargo, vemos como nuestra propuesta es capaz de general relaciones idénticas, tanto en términos de complejidad, como de estructura (MR1 original vs example-noIF-MR4)</t>
  </si>
  <si>
    <t xml:space="preserve">Maximum depth of the parse tree</t>
  </si>
  <si>
    <t xml:space="preserve">.</t>
  </si>
  <si>
    <t xml:space="preserve">Ver la MR1 original vs noexample-noIF-MR6. En términos de complejidad es superior la generada por IA, y en términos de diferencia estructura, ligeramente diferentes</t>
  </si>
  <si>
    <t xml:space="preserve">Number of leaf nodes (operands)</t>
  </si>
  <si>
    <t xml:space="preserve">Branching_Factor</t>
  </si>
  <si>
    <t xml:space="preserve">Average branching factor = edges / internal nodes</t>
  </si>
  <si>
    <t xml:space="preserve">McCabe_CC</t>
  </si>
  <si>
    <t xml:space="preserve">Cyclomatic Complexity = #OR + 1 (McCabe, 1976)</t>
  </si>
  <si>
    <t xml:space="preserve">N1_operators</t>
  </si>
  <si>
    <t xml:space="preserve">Total operator tokens (AND / OR / COMP / PRED / NEG_PRED)</t>
  </si>
  <si>
    <t xml:space="preserve">N2_operands</t>
  </si>
  <si>
    <t xml:space="preserve">Total operand tokens (original expressions: NS(m1), TTD(m2), etc.)</t>
  </si>
  <si>
    <t xml:space="preserve">Number of distinct operator types</t>
  </si>
  <si>
    <t xml:space="preserve">Number of distinct operand expressions</t>
  </si>
  <si>
    <t xml:space="preserve">Halstead program length = N1 + N2</t>
  </si>
  <si>
    <t xml:space="preserve">Halstead vocabulary = n1 + n2</t>
  </si>
  <si>
    <t xml:space="preserve">Volume = N * log2(n) in bits (Halstead, 1977)</t>
  </si>
  <si>
    <t xml:space="preserve">Difficulty = (n1/2) * (N2/n2) (Halstead, 1977)</t>
  </si>
  <si>
    <t xml:space="preserve">Effort = D * V (Halstead, 1977)</t>
  </si>
  <si>
    <t xml:space="preserve">List of operator tokens found in the tree</t>
  </si>
  <si>
    <t xml:space="preserve">Operands_detail</t>
  </si>
  <si>
    <t xml:space="preserve">List of operand tokens found in the tree</t>
  </si>
  <si>
    <t xml:space="preserve">Raw_MR</t>
  </si>
  <si>
    <t xml:space="preserve">Original MR text as written in the input file</t>
  </si>
  <si>
    <t xml:space="preserve">DCs</t>
  </si>
  <si>
    <t xml:space="preserve">base-normal-MR1</t>
  </si>
  <si>
    <t xml:space="preserve">NN(m1) &gt; NN(m2) '=&gt; T(m1) &lt;= T(m2)</t>
  </si>
  <si>
    <t xml:space="preserve">base-normal-MR2</t>
  </si>
  <si>
    <t xml:space="preserve">AND, COMP(&gt;), COMP(==), COMP(&lt;=)</t>
  </si>
  <si>
    <t xml:space="preserve">CPU(m1) &gt; CPU(m2) AND W(m1)=W(m2) '=&gt; E(m1) &lt;= E(m2)</t>
  </si>
  <si>
    <t xml:space="preserve">base-normal-MR3</t>
  </si>
  <si>
    <t xml:space="preserve">SS(m1) &gt; SS(m2) AND W(m1)=W(m2) '=&gt; T(m1) &lt;= T(m2)</t>
  </si>
  <si>
    <t xml:space="preserve">base-normal-MR4</t>
  </si>
  <si>
    <t xml:space="preserve">TBW(m1) &gt; TBW(m2) '=&gt; T(m2) &lt;= T(m1)</t>
  </si>
  <si>
    <t xml:space="preserve">base-normal-MR5</t>
  </si>
  <si>
    <t xml:space="preserve">AND, COMP(&gt;), COMP(==), COMP(&lt;)</t>
  </si>
  <si>
    <t xml:space="preserve">MS(m1) &gt; MS(m2) AND W(m1)=W(m2)  '=&gt; T(m1) &lt; T(m2)</t>
  </si>
  <si>
    <t xml:space="preserve">base-normal-MR6</t>
  </si>
  <si>
    <t xml:space="preserve">base-normal-MR7</t>
  </si>
  <si>
    <t xml:space="preserve">COMP(&gt;), COMP(&gt;=)</t>
  </si>
  <si>
    <t xml:space="preserve">TMS(m1) &gt; TMS(m2) '=&gt; T(m2) &gt;= T(m1)</t>
  </si>
  <si>
    <t xml:space="preserve">base-noMR-MR1</t>
  </si>
  <si>
    <t xml:space="preserve">base-noMR-MR3</t>
  </si>
  <si>
    <t xml:space="preserve">TMS(m1) &gt; TMS(m2) '=&gt; T(m2) &lt;= T(m1)</t>
  </si>
  <si>
    <t xml:space="preserve">base-noMR-MR4</t>
  </si>
  <si>
    <t xml:space="preserve">NN(m1) &gt; NN(m2) '=&gt; E(m2) &lt;= E(m1)</t>
  </si>
  <si>
    <t xml:space="preserve">nobase-normal-MR3</t>
  </si>
  <si>
    <t xml:space="preserve">TBW(m1) &gt; TBW(m2) '=&gt; T(m1) &lt;= T(m2)</t>
  </si>
  <si>
    <t xml:space="preserve">nobase-normal-MR5</t>
  </si>
  <si>
    <t xml:space="preserve">TMS(m1) &gt; TMS(m2) '=&gt; T(m1) &lt;= T(m2)</t>
  </si>
  <si>
    <t xml:space="preserve">nobase-noIF-MR3</t>
  </si>
  <si>
    <t xml:space="preserve">COMP(&gt;), COMP(&gt;)</t>
  </si>
  <si>
    <t xml:space="preserve">NN(m1) &gt; NN(m2) '=&gt; E(m1) &gt; E(m2)</t>
  </si>
  <si>
    <t xml:space="preserve">nobase-noIF-MR4</t>
  </si>
  <si>
    <t xml:space="preserve">COMP(&lt;), COMP(&lt;)</t>
  </si>
  <si>
    <t xml:space="preserve">L(m1) &lt; L(m2) '=&gt; T(m1) &lt; T(m2)</t>
  </si>
  <si>
    <t xml:space="preserve">nobase-noIF-MR5</t>
  </si>
  <si>
    <t xml:space="preserve">COMP(&gt;), COMP(&lt;)</t>
  </si>
  <si>
    <t xml:space="preserve">BW(m1) &gt; BW(m2) '=&gt; E(m1) &lt; E(m2)</t>
  </si>
  <si>
    <t xml:space="preserve">nobase-noIF-MR6</t>
  </si>
  <si>
    <t xml:space="preserve">MS(m1) &gt; MS(m2) '=&gt; T(m1) &lt; T(m2)</t>
  </si>
  <si>
    <t xml:space="preserve">La diferencia principal entre las reglas generadas por humanos e IA es una comparación extra en la entrada</t>
  </si>
  <si>
    <t xml:space="preserve">DFAs</t>
  </si>
  <si>
    <t xml:space="preserve">COMP(==), OR, AND, PRED, NEG_PRED, AND, NEG_PRED, PRED</t>
  </si>
  <si>
    <t xml:space="preserve">PRED, OR, NEG_PRED, PRED</t>
  </si>
  <si>
    <t xml:space="preserve">COMP(&lt;), OR, PRED, PRED</t>
  </si>
  <si>
    <t xml:space="preserve">COMP(&lt;), OR, NEG_PRED, NEG_PRED</t>
  </si>
  <si>
    <t xml:space="preserve">COMP(&gt;), OR, NEG_PRED, PRED</t>
  </si>
  <si>
    <t xml:space="preserve">Conclusiones</t>
  </si>
  <si>
    <t xml:space="preserve">* Hay una MR que desbalancea mucho la media, y en una población tan pequeña se nota mucho</t>
  </si>
  <si>
    <t xml:space="preserve">Words</t>
  </si>
  <si>
    <t xml:space="preserve">AND, COMP(==), COMP(==), AND, PRED, NEG_PRED</t>
  </si>
  <si>
    <t xml:space="preserve">AND, COMP(&gt;), COMP(==), COMP(==), AND, PRED, PRED</t>
  </si>
  <si>
    <t xml:space="preserve">AND, COMP(&gt;), COMP(==), NEG_PRED</t>
  </si>
  <si>
    <t xml:space="preserve">base-noMR-MR2</t>
  </si>
  <si>
    <t xml:space="preserve">AND, COMP(&lt;=), COMP(==), PRED</t>
  </si>
  <si>
    <t xml:space="preserve">* Hay una MR que desbalancea la media, y en una población tan pequeña se nota mucho</t>
  </si>
  <si>
    <t xml:space="preserve">Median</t>
  </si>
  <si>
    <t xml:space="preserve">Human H_V</t>
  </si>
  <si>
    <t xml:space="preserve">Human_H_D</t>
  </si>
  <si>
    <t xml:space="preserve">Human_H_E</t>
  </si>
  <si>
    <t xml:space="preserve">AI H_V</t>
  </si>
  <si>
    <t xml:space="preserve">AI_H_D</t>
  </si>
  <si>
    <t xml:space="preserve">AI_H_E</t>
  </si>
  <si>
    <t xml:space="preserve">1.71</t>
  </si>
  <si>
    <t xml:space="preserve">31.7</t>
  </si>
  <si>
    <t xml:space="preserve">1.5</t>
  </si>
  <si>
    <t xml:space="preserve">47.55</t>
  </si>
  <si>
    <t xml:space="preserve">NS(m1), NS(m2), TTD(m2), TTD(m1), D(m2), D(m1)</t>
  </si>
  <si>
    <t xml:space="preserve">example, MR1, detailed, NS(m1) &gt; NS(m2) '=&gt; TTD(m2) &gt;= TTD(m1) AND D(m2) &gt;= D(m1)</t>
  </si>
  <si>
    <t xml:space="preserve">OC(m1), OC(m2), TTD(m1), TTD(m2), D(m1), D(m2)</t>
  </si>
  <si>
    <t xml:space="preserve">example, MR2, detailed, OC(m1) &gt; OC(m2) '=&gt; TTD(m1) &gt;= TTD(m2) AND D(m1) &gt;= D(m2)</t>
  </si>
  <si>
    <t xml:space="preserve">WPC(m1), WPC(m2), TTD(m1), TTD(m2), D(m1), D(m2)</t>
  </si>
  <si>
    <t xml:space="preserve">example, MR3, detailed, WPC(m1) &gt; WPC(m2) '=&gt; TTD(m1) &gt;= TTD(m2) AND D(m1) &gt;= D(m2)</t>
  </si>
  <si>
    <t xml:space="preserve">1.6</t>
  </si>
  <si>
    <t xml:space="preserve">15.51</t>
  </si>
  <si>
    <t xml:space="preserve">1.0</t>
  </si>
  <si>
    <t xml:space="preserve">MS(m1), MS(m2), TTD(m1), TTD(m2)</t>
  </si>
  <si>
    <t xml:space="preserve">example, MR4, detailed, MS(m1) &gt; MS(m2) '=&gt; TTD(m1) &lt;= TTD(m2)</t>
  </si>
  <si>
    <t xml:space="preserve">AVG(m1), AVG(m2), D(m1), D(m2)</t>
  </si>
  <si>
    <t xml:space="preserve">example, MR5, detailed, AVG(m1) &gt; AVG(m2) '=&gt; D(m1) &lt;= D(m2)</t>
  </si>
  <si>
    <t xml:space="preserve">ARG(m1), ARG(m2), BAL(m1), BAL(m2)</t>
  </si>
  <si>
    <t xml:space="preserve">example, MR6, detailed, ARG(m1) &gt; ARG(m2) '=&gt; BAL(m1) &lt;= BAL(m2)</t>
  </si>
  <si>
    <t xml:space="preserve">OC(m1), OC(m2), D(m1), D(m2)</t>
  </si>
  <si>
    <t xml:space="preserve">example, MR2, noMR, OC(m1)	&lt; OC(m2) '=&gt; D(m1) &gt;= D(m2)</t>
  </si>
  <si>
    <t xml:space="preserve">MS(m1), MS(m2), TTD(m1), TTD(m2), ED(m1), ED(m2)</t>
  </si>
  <si>
    <t xml:space="preserve">example, MR4, noIF, MS(m1)	&gt; MS(m2) '=&gt; TTD(m1) &lt;= TTD(m2) AND ED(m1) &lt;= ED(m2)</t>
  </si>
  <si>
    <t xml:space="preserve">ARG(m1), ARG(m2), TTD(m1), TTD(m2), ED(m1), ED(m2)</t>
  </si>
  <si>
    <t xml:space="preserve">example, MR6, noIF, ARG(m1) &gt; ARG(m2) '=&gt; TTD(m1) &lt;= TTD(m2) AND ED(m1) &lt;=	ED(m2)</t>
  </si>
  <si>
    <t xml:space="preserve">MS(m1), MS(m2), D(m1), D(m2)</t>
  </si>
  <si>
    <t xml:space="preserve">example, MR4, none, MS(m1)	&lt; MS(m2) '=&gt; D(m1) &gt;= D(m2)</t>
  </si>
  <si>
    <t xml:space="preserve">MS(m1), MS(m2), TTD(m1), TTD(m2), D(m1), D(m2)</t>
  </si>
  <si>
    <t xml:space="preserve">noexample, MR4, detailed, MS(m1) &gt; MS(m2) '=&gt; TTD(m1) &gt;= TTD(m2) AND D(m1) &gt;= D(m2)</t>
  </si>
  <si>
    <t xml:space="preserve">ARG(m1), ARG(m2), TTD(m1), TTD(m2), D(m1), D(m2)</t>
  </si>
  <si>
    <t xml:space="preserve">noexample, MR6, detailed, ARG(m1) &gt; ARG(m2) '=&gt; TTD(m1) &gt;= TTD(m2) AND D(m1) &gt;= D(m2)</t>
  </si>
  <si>
    <t xml:space="preserve">33.22</t>
  </si>
  <si>
    <t xml:space="preserve">2.0</t>
  </si>
  <si>
    <t xml:space="preserve">66.44</t>
  </si>
  <si>
    <t xml:space="preserve">noexample, MR4, noIF, MS(m1) &gt; MS(m2) '=&gt; TTD(m1) &lt;= TTD(m2) AND ED(m1) &gt;= ED(m2)</t>
  </si>
  <si>
    <t xml:space="preserve">noexample, MR6, noIF, ARG(m1) &lt; ARG(m2) '=&gt; TTD(m1) &gt;= TTD(m2) AND	ED(m1) &lt;= ED(m2)</t>
  </si>
  <si>
    <t xml:space="preserve">NN(m1), NN(m2), T(m1), T(m2)</t>
  </si>
  <si>
    <t xml:space="preserve">base, MR1, normal, NN(m1) &gt; NN(m2) '=&gt; T(m1) &lt;= T(m2)</t>
  </si>
  <si>
    <t xml:space="preserve">CPU(m1), CPU(m2), W(m1), W(m2), E(m1), E(m2)</t>
  </si>
  <si>
    <t xml:space="preserve">base, MR2, normal, CPU(m1) &gt; CPU(m2) AND W(m1)=W(m2) '=&gt; E(m1) &lt;= E(m2)</t>
  </si>
  <si>
    <t xml:space="preserve">SS(m1), SS(m2), W(m1), W(m2), T(m1), T(m2)</t>
  </si>
  <si>
    <t xml:space="preserve">base, MR3, normal, SS(m1) &gt; SS(m2) AND W(m1)=W(m2) '=&gt; T(m1) &lt;= T(m2)</t>
  </si>
  <si>
    <t xml:space="preserve">TBW(m1), TBW(m2), T(m2), T(m1)</t>
  </si>
  <si>
    <t xml:space="preserve">base, MR4, normal, TBW(m1) &gt; TBW(m2) '=&gt; T(m2) &lt;= T(m1)</t>
  </si>
  <si>
    <t xml:space="preserve">MS(m1), MS(m2), W(m1), W(m2), T(m1), T(m2)</t>
  </si>
  <si>
    <t xml:space="preserve">base, MR5, normal, MS(m1) &gt; MS(m2) AND W(m1)=W(m2)  '=&gt; T(m1) &lt; T(m2)</t>
  </si>
  <si>
    <t xml:space="preserve">base, MR6, normal, TBW(m1) &gt; TBW(m2) '=&gt; T(m2) &lt;= T(m1)</t>
  </si>
  <si>
    <t xml:space="preserve">TMS(m1), TMS(m2), T(m2), T(m1)</t>
  </si>
  <si>
    <t xml:space="preserve">base, MR7, normal, TMS(m1) &gt; TMS(m2) '=&gt; T(m2) &gt;= T(m1)</t>
  </si>
  <si>
    <t xml:space="preserve">base, MR1, noMR, TBW(m1) &gt; TBW(m2) '=&gt; T(m2) &lt;= T(m1)</t>
  </si>
  <si>
    <t xml:space="preserve">base, MR3, noMR, TMS(m1) &gt; TMS(m2) '=&gt; T(m2) &lt;= T(m1)</t>
  </si>
  <si>
    <t xml:space="preserve">NN(m1), NN(m2), E(m2), E(m1)</t>
  </si>
  <si>
    <t xml:space="preserve">base, MR4, noMR, NN(m1) &gt; NN(m2) '=&gt; E(m2) &lt;= E(m1)</t>
  </si>
  <si>
    <t xml:space="preserve">TBW(m1), TBW(m2), T(m1), T(m2)</t>
  </si>
  <si>
    <t xml:space="preserve">nobase, MR3, normal, TBW(m1) &gt; TBW(m2) '=&gt; T(m1) &lt;= T(m2)</t>
  </si>
  <si>
    <t xml:space="preserve">TMS(m1), TMS(m2), T(m1), T(m2)</t>
  </si>
  <si>
    <t xml:space="preserve">nobase, MR5, normal, TMS(m1) &gt; TMS(m2) '=&gt; T(m1) &lt;= T(m2)</t>
  </si>
  <si>
    <t xml:space="preserve">13.93</t>
  </si>
  <si>
    <t xml:space="preserve">0.5</t>
  </si>
  <si>
    <t xml:space="preserve">6.97</t>
  </si>
  <si>
    <t xml:space="preserve">NN(m1), NN(m2), E(m1), E(m2)</t>
  </si>
  <si>
    <t xml:space="preserve">nobase, MR3, noIF, NN(m1) &gt; NN(m2) '=&gt; E(m1) &gt; E(m2)</t>
  </si>
  <si>
    <t xml:space="preserve">L(m1), L(m2), T(m1), T(m2)</t>
  </si>
  <si>
    <t xml:space="preserve">nobase, MR4, noIF, L(m1) &lt; L(m2) '=&gt; T(m1) &lt; T(m2)</t>
  </si>
  <si>
    <t xml:space="preserve">BW(m1), BW(m2), E(m1), E(m2)</t>
  </si>
  <si>
    <t xml:space="preserve">nobase, MR5, noIF, BW(m1) &gt; BW(m2) '=&gt; E(m1) &lt; E(m2)</t>
  </si>
  <si>
    <t xml:space="preserve">MS(m1), MS(m2), T(m1), T(m2)</t>
  </si>
  <si>
    <t xml:space="preserve">nobase, MR6, noIF, MS(m1) &gt; MS(m2) '=&gt; T(m1) &lt; T(m2)</t>
  </si>
  <si>
    <t xml:space="preserve">1.45</t>
  </si>
  <si>
    <t xml:space="preserve">44.38</t>
  </si>
  <si>
    <t xml:space="preserve">3.75</t>
  </si>
  <si>
    <t xml:space="preserve">166.42</t>
  </si>
  <si>
    <t xml:space="preserve">NFS(x1), FS(x2), R(x1, w1), R(x2, w1), R(x1, w1), R(x2, w1)</t>
  </si>
  <si>
    <t xml:space="preserve">example, detailed, MR1, NFS(x1) == FS(x2) '=&gt; (R(x1, w1) and ¬R(x2, w1)) or (¬R(x1, w1) and R(x2, w1))</t>
  </si>
  <si>
    <t xml:space="preserve">1.29</t>
  </si>
  <si>
    <t xml:space="preserve">18.09</t>
  </si>
  <si>
    <t xml:space="preserve">27.14</t>
  </si>
  <si>
    <t xml:space="preserve">FS(x2)-&gt;includesAll(FS(x1)), R(x1, w1), R(x2, w1)</t>
  </si>
  <si>
    <t xml:space="preserve">example, detailed, MR2, FS(x2)-&gt;includesAll(FS(x1)) '=&gt; ¬R(x1, w1) or R(x2, w1)</t>
  </si>
  <si>
    <t xml:space="preserve">1.43</t>
  </si>
  <si>
    <t xml:space="preserve">22.46</t>
  </si>
  <si>
    <t xml:space="preserve">33.69</t>
  </si>
  <si>
    <t xml:space="preserve">FS(x1)-&gt;size(), FS(x2)-&gt;size(), R(x1, w1), R(x2, w1)</t>
  </si>
  <si>
    <t xml:space="preserve">example, detailed, MR3, FS(x1)-&gt;size() &lt; FS(x2)-&gt;size()'=&gt;R(x1, w1) or R(x2, w1)</t>
  </si>
  <si>
    <t xml:space="preserve">NFS(x1)-&gt;size(), NFS(x2)-&gt;size(), R(x1, w1), R(x2, w1)</t>
  </si>
  <si>
    <t xml:space="preserve">example, detailed, MR4, NFS(x1)-&gt;size() &lt; NFS(x2)-&gt;size()'=&gt;¬R(x1, w1) or ¬R(x2, w1)</t>
  </si>
  <si>
    <t xml:space="preserve">T(x1)-&gt;size(), T(x2)-&gt;size(), R(x1, w1), R(x2, w1)</t>
  </si>
  <si>
    <t xml:space="preserve">example, detailed, MR5, T(x1)-&gt;size() &lt; T(x2)-&gt;size()'=&gt;R(x1, w1) or R(x2, w1)</t>
  </si>
  <si>
    <t xml:space="preserve">24.0</t>
  </si>
  <si>
    <t xml:space="preserve">48.0</t>
  </si>
  <si>
    <t xml:space="preserve">noexample, detailed, MR4, T(x1)-&gt;size() &gt; T(x2)-&gt;size() '=&gt; ¬R(x1, w1) or R(x2, w1)</t>
  </si>
  <si>
    <t xml:space="preserve">1.56</t>
  </si>
  <si>
    <t xml:space="preserve">39.86</t>
  </si>
  <si>
    <t xml:space="preserve">79.73</t>
  </si>
  <si>
    <t xml:space="preserve">w1-&gt;last(), '0', w1-&gt;including('1'), w2, R(x1, w1), R(x1, w2)</t>
  </si>
  <si>
    <t xml:space="preserve">base, normal, MR1, w1-&gt;last() == '0' and w1-&gt;including('1') == w2 '=&gt; R(x1, w1) and ¬R(x1, w2)</t>
  </si>
  <si>
    <t xml:space="preserve">1.7</t>
  </si>
  <si>
    <t xml:space="preserve">53.77</t>
  </si>
  <si>
    <t xml:space="preserve">107.55</t>
  </si>
  <si>
    <t xml:space="preserve">w1-&gt;size(), 1, w1-&gt;last(), '0', w2, w1-&gt;remove(0), R(x1, w1), R(x1, w2)</t>
  </si>
  <si>
    <t xml:space="preserve">base, normal, MR2, w1-&gt;size() &gt; 1 and w1-&gt;last() == '0' and w2 == w1-&gt;remove(0) '=&gt; R(x1, w1) and R(x1, w2)</t>
  </si>
  <si>
    <t xml:space="preserve">1.57</t>
  </si>
  <si>
    <t xml:space="preserve">27.0</t>
  </si>
  <si>
    <t xml:space="preserve">2.5</t>
  </si>
  <si>
    <t xml:space="preserve">67.5</t>
  </si>
  <si>
    <t xml:space="preserve">w1-&gt;size(), w2-&gt;size(), Result(x1, w1), Result(x2, w2), Result(x1, w1)</t>
  </si>
  <si>
    <t xml:space="preserve">base, noMR, MR1, w1-&gt;size() &gt; w2-&gt;size() and Result(x1, w1) == Result(x2, w2) '=&gt; ¬Result(x1, w1)</t>
  </si>
  <si>
    <t xml:space="preserve">base, noMR, MR2, w1-&gt;size() &lt;= w2-&gt;size() and Result(x1, w1) == Result(x2, w2) '=&gt; Result(x1, w1)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</si>
</sst>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21"/>
      <name val="Arial"/>
      <family val="2"/>
    </font>
    <font>
      <i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DDDDD"/>
        <bgColor rgb="FFCC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14</xdr:col>
      <xdr:colOff>147960</xdr:colOff>
      <xdr:row>21</xdr:row>
      <xdr:rowOff>11880</xdr:rowOff>
    </xdr:from>
    <xdr:to>
      <xdr:col>20</xdr:col>
      <xdr:colOff>799200</xdr:colOff>
      <xdr:row>48</xdr:row>
      <xdr:rowOff>110880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6464160" y="3425760"/>
          <a:ext cx="5328000" cy="463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15</xdr:col>
      <xdr:colOff>5040</xdr:colOff>
      <xdr:row>22</xdr:row>
      <xdr:rowOff>111600</xdr:rowOff>
    </xdr:from>
    <xdr:to>
      <xdr:col>21</xdr:col>
      <xdr:colOff>37800</xdr:colOff>
      <xdr:row>51</xdr:row>
      <xdr:rowOff>112320</xdr:rowOff>
    </xdr:to>
    <xdr:pic>
      <xdr:nvPicPr>
        <xdr:cNvPr id="1" name="Image 2" descr=""/>
        <xdr:cNvPicPr/>
      </xdr:nvPicPr>
      <xdr:blipFill>
        <a:blip r:embed="rId1"/>
        <a:stretch/>
      </xdr:blipFill>
      <xdr:spPr>
        <a:xfrm>
          <a:off x="6071760" y="3687840"/>
          <a:ext cx="5434200" cy="4714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2"/>
  <sheetViews>
    <sheetView showFormulas="false" showGridLines="true" showRowColHeaders="true" showZeros="true" rightToLeft="false" tabSelected="false" showOutlineSymbols="true" defaultGridColor="true" view="normal" topLeftCell="A1" colorId="64" zoomScale="131" zoomScaleNormal="13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41"/>
    <col collapsed="false" customWidth="true" hidden="false" outlineLevel="0" max="2" min="2" style="0" width="8.59"/>
    <col collapsed="false" customWidth="true" hidden="false" outlineLevel="0" max="4" min="4" style="0" width="3.82"/>
    <col collapsed="false" customWidth="true" hidden="false" outlineLevel="0" max="5" min="5" style="0" width="6.1"/>
    <col collapsed="false" customWidth="true" hidden="false" outlineLevel="0" max="6" min="6" style="0" width="7.16"/>
    <col collapsed="false" customWidth="true" hidden="false" outlineLevel="0" max="8" min="8" style="0" width="5.41"/>
    <col collapsed="false" customWidth="true" hidden="false" outlineLevel="0" max="10" min="9" style="0" width="3.66"/>
    <col collapsed="false" customWidth="true" hidden="false" outlineLevel="0" max="11" min="11" style="0" width="4.02"/>
    <col collapsed="false" customWidth="true" hidden="false" outlineLevel="0" max="12" min="12" style="0" width="4.24"/>
    <col collapsed="false" customWidth="true" hidden="false" outlineLevel="0" max="13" min="13" style="0" width="5.72"/>
    <col collapsed="false" customWidth="true" hidden="false" outlineLevel="0" max="14" min="14" style="0" width="6.68"/>
    <col collapsed="false" customWidth="true" hidden="false" outlineLevel="0" max="15" min="15" style="0" width="8.06"/>
    <col collapsed="false" customWidth="true" hidden="false" outlineLevel="0" max="16" min="16" style="0" width="5.93"/>
    <col collapsed="false" customWidth="true" hidden="false" outlineLevel="0" max="17" min="17" style="0" width="6.15"/>
    <col collapsed="false" customWidth="true" hidden="false" outlineLevel="0" max="18" min="18" style="0" width="1.38"/>
    <col collapsed="false" customWidth="true" hidden="false" outlineLevel="0" max="19" min="19" style="0" width="33.26"/>
  </cols>
  <sheetData>
    <row r="1" customFormat="false" ht="12.8" hidden="false" customHeight="false" outlineLevel="0" collapsed="false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/>
      <c r="S1" s="1" t="s">
        <v>16</v>
      </c>
      <c r="T1" s="1" t="s">
        <v>17</v>
      </c>
    </row>
    <row r="2" customFormat="false" ht="12.8" hidden="false" customHeight="true" outlineLevel="0" collapsed="false">
      <c r="A2" s="2" t="s">
        <v>18</v>
      </c>
      <c r="B2" s="3" t="s">
        <v>19</v>
      </c>
      <c r="C2" s="4" t="s">
        <v>20</v>
      </c>
      <c r="D2" s="0" t="n">
        <v>13</v>
      </c>
      <c r="E2" s="0" t="n">
        <v>4</v>
      </c>
      <c r="F2" s="0" t="n">
        <v>6</v>
      </c>
      <c r="G2" s="0" t="n">
        <v>1.71</v>
      </c>
      <c r="H2" s="0" t="n">
        <v>1</v>
      </c>
      <c r="I2" s="0" t="n">
        <v>4</v>
      </c>
      <c r="J2" s="0" t="n">
        <v>6</v>
      </c>
      <c r="K2" s="0" t="n">
        <v>3</v>
      </c>
      <c r="L2" s="0" t="n">
        <v>6</v>
      </c>
      <c r="M2" s="0" t="n">
        <v>10</v>
      </c>
      <c r="N2" s="0" t="n">
        <v>9</v>
      </c>
      <c r="O2" s="0" t="n">
        <v>31.7</v>
      </c>
      <c r="P2" s="0" t="n">
        <v>1.5</v>
      </c>
      <c r="Q2" s="0" t="n">
        <v>47.55</v>
      </c>
      <c r="S2" s="0" t="s">
        <v>21</v>
      </c>
      <c r="T2" s="0" t="s">
        <v>22</v>
      </c>
    </row>
    <row r="3" customFormat="false" ht="12.8" hidden="false" customHeight="false" outlineLevel="0" collapsed="false">
      <c r="A3" s="2" t="s">
        <v>18</v>
      </c>
      <c r="B3" s="3"/>
      <c r="C3" s="4" t="s">
        <v>23</v>
      </c>
      <c r="D3" s="0" t="n">
        <v>13</v>
      </c>
      <c r="E3" s="0" t="n">
        <v>4</v>
      </c>
      <c r="F3" s="0" t="n">
        <v>6</v>
      </c>
      <c r="G3" s="0" t="n">
        <v>1.71</v>
      </c>
      <c r="H3" s="0" t="n">
        <v>1</v>
      </c>
      <c r="I3" s="0" t="n">
        <v>4</v>
      </c>
      <c r="J3" s="0" t="n">
        <v>6</v>
      </c>
      <c r="K3" s="0" t="n">
        <v>3</v>
      </c>
      <c r="L3" s="0" t="n">
        <v>6</v>
      </c>
      <c r="M3" s="0" t="n">
        <v>10</v>
      </c>
      <c r="N3" s="0" t="n">
        <v>9</v>
      </c>
      <c r="O3" s="0" t="n">
        <v>31.7</v>
      </c>
      <c r="P3" s="0" t="n">
        <v>1.5</v>
      </c>
      <c r="Q3" s="0" t="n">
        <v>47.55</v>
      </c>
      <c r="S3" s="0" t="s">
        <v>21</v>
      </c>
      <c r="T3" s="0" t="s">
        <v>24</v>
      </c>
    </row>
    <row r="4" customFormat="false" ht="12.8" hidden="false" customHeight="false" outlineLevel="0" collapsed="false">
      <c r="A4" s="2" t="s">
        <v>18</v>
      </c>
      <c r="B4" s="3"/>
      <c r="C4" s="4" t="s">
        <v>25</v>
      </c>
      <c r="D4" s="0" t="n">
        <v>13</v>
      </c>
      <c r="E4" s="0" t="n">
        <v>4</v>
      </c>
      <c r="F4" s="0" t="n">
        <v>6</v>
      </c>
      <c r="G4" s="0" t="n">
        <v>1.71</v>
      </c>
      <c r="H4" s="0" t="n">
        <v>1</v>
      </c>
      <c r="I4" s="0" t="n">
        <v>4</v>
      </c>
      <c r="J4" s="0" t="n">
        <v>6</v>
      </c>
      <c r="K4" s="0" t="n">
        <v>3</v>
      </c>
      <c r="L4" s="0" t="n">
        <v>6</v>
      </c>
      <c r="M4" s="0" t="n">
        <v>10</v>
      </c>
      <c r="N4" s="0" t="n">
        <v>9</v>
      </c>
      <c r="O4" s="0" t="n">
        <v>31.7</v>
      </c>
      <c r="P4" s="0" t="n">
        <v>1.5</v>
      </c>
      <c r="Q4" s="0" t="n">
        <v>47.55</v>
      </c>
      <c r="S4" s="0" t="s">
        <v>21</v>
      </c>
      <c r="T4" s="0" t="s">
        <v>26</v>
      </c>
    </row>
    <row r="5" customFormat="false" ht="12.8" hidden="false" customHeight="false" outlineLevel="0" collapsed="false">
      <c r="A5" s="2"/>
      <c r="B5" s="2"/>
      <c r="C5" s="5" t="s">
        <v>27</v>
      </c>
      <c r="D5" s="5" t="n">
        <f aca="false">AVERAGE(D2:D4)</f>
        <v>13</v>
      </c>
      <c r="E5" s="5" t="n">
        <f aca="false">AVERAGE(E2:E4)</f>
        <v>4</v>
      </c>
      <c r="F5" s="5" t="n">
        <f aca="false">AVERAGE(F2:F4)</f>
        <v>6</v>
      </c>
      <c r="G5" s="5" t="n">
        <f aca="false">AVERAGE(G2:G4)</f>
        <v>1.71</v>
      </c>
      <c r="H5" s="5" t="n">
        <f aca="false">AVERAGE(H2:H4)</f>
        <v>1</v>
      </c>
      <c r="I5" s="5" t="n">
        <f aca="false">AVERAGE(I2:I4)</f>
        <v>4</v>
      </c>
      <c r="J5" s="5" t="n">
        <f aca="false">AVERAGE(J2:J4)</f>
        <v>6</v>
      </c>
      <c r="K5" s="5" t="n">
        <f aca="false">AVERAGE(K2:K4)</f>
        <v>3</v>
      </c>
      <c r="L5" s="5" t="n">
        <f aca="false">AVERAGE(L2:L4)</f>
        <v>6</v>
      </c>
      <c r="M5" s="5" t="n">
        <f aca="false">AVERAGE(M2:M4)</f>
        <v>10</v>
      </c>
      <c r="N5" s="5" t="n">
        <f aca="false">AVERAGE(N2:N4)</f>
        <v>9</v>
      </c>
      <c r="O5" s="5" t="n">
        <f aca="false">AVERAGE(O2:O4)</f>
        <v>31.7</v>
      </c>
      <c r="P5" s="5" t="n">
        <f aca="false">AVERAGE(P2:P4)</f>
        <v>1.5</v>
      </c>
      <c r="Q5" s="5" t="n">
        <f aca="false">AVERAGE(Q2:Q4)</f>
        <v>47.55</v>
      </c>
    </row>
    <row r="6" customFormat="false" ht="12.8" hidden="false" customHeight="false" outlineLevel="0" collapsed="false">
      <c r="A6" s="2" t="s">
        <v>18</v>
      </c>
      <c r="B6" s="6" t="s">
        <v>28</v>
      </c>
      <c r="C6" s="7" t="s">
        <v>29</v>
      </c>
      <c r="D6" s="7" t="n">
        <v>9</v>
      </c>
      <c r="E6" s="7" t="n">
        <v>3</v>
      </c>
      <c r="F6" s="7" t="n">
        <v>4</v>
      </c>
      <c r="G6" s="7" t="n">
        <v>1.6</v>
      </c>
      <c r="H6" s="7" t="n">
        <v>1</v>
      </c>
      <c r="I6" s="7" t="n">
        <v>2</v>
      </c>
      <c r="J6" s="7" t="n">
        <v>4</v>
      </c>
      <c r="K6" s="7" t="n">
        <v>2</v>
      </c>
      <c r="L6" s="7" t="n">
        <v>4</v>
      </c>
      <c r="M6" s="7" t="n">
        <v>6</v>
      </c>
      <c r="N6" s="7" t="n">
        <v>6</v>
      </c>
      <c r="O6" s="7" t="n">
        <v>15.51</v>
      </c>
      <c r="P6" s="7" t="n">
        <v>1</v>
      </c>
      <c r="Q6" s="7" t="n">
        <v>15.51</v>
      </c>
      <c r="R6" s="7"/>
      <c r="S6" s="7" t="s">
        <v>30</v>
      </c>
      <c r="T6" s="7" t="s">
        <v>31</v>
      </c>
    </row>
    <row r="7" customFormat="false" ht="12.8" hidden="false" customHeight="false" outlineLevel="0" collapsed="false">
      <c r="A7" s="2" t="s">
        <v>18</v>
      </c>
      <c r="B7" s="6"/>
      <c r="C7" s="0" t="s">
        <v>32</v>
      </c>
      <c r="D7" s="0" t="n">
        <v>9</v>
      </c>
      <c r="E7" s="0" t="n">
        <v>3</v>
      </c>
      <c r="F7" s="0" t="n">
        <v>4</v>
      </c>
      <c r="G7" s="0" t="n">
        <v>1.6</v>
      </c>
      <c r="H7" s="0" t="n">
        <v>1</v>
      </c>
      <c r="I7" s="0" t="n">
        <v>2</v>
      </c>
      <c r="J7" s="0" t="n">
        <v>4</v>
      </c>
      <c r="K7" s="0" t="n">
        <v>2</v>
      </c>
      <c r="L7" s="0" t="n">
        <v>4</v>
      </c>
      <c r="M7" s="0" t="n">
        <v>6</v>
      </c>
      <c r="N7" s="0" t="n">
        <v>6</v>
      </c>
      <c r="O7" s="0" t="n">
        <v>15.51</v>
      </c>
      <c r="P7" s="0" t="n">
        <v>1</v>
      </c>
      <c r="Q7" s="0" t="n">
        <v>15.51</v>
      </c>
      <c r="S7" s="0" t="s">
        <v>30</v>
      </c>
      <c r="T7" s="0" t="s">
        <v>33</v>
      </c>
    </row>
    <row r="8" customFormat="false" ht="12.8" hidden="false" customHeight="false" outlineLevel="0" collapsed="false">
      <c r="A8" s="2" t="s">
        <v>18</v>
      </c>
      <c r="B8" s="6"/>
      <c r="C8" s="0" t="s">
        <v>34</v>
      </c>
      <c r="D8" s="0" t="n">
        <v>9</v>
      </c>
      <c r="E8" s="0" t="n">
        <v>3</v>
      </c>
      <c r="F8" s="0" t="n">
        <v>4</v>
      </c>
      <c r="G8" s="0" t="n">
        <v>1.6</v>
      </c>
      <c r="H8" s="0" t="n">
        <v>1</v>
      </c>
      <c r="I8" s="0" t="n">
        <v>2</v>
      </c>
      <c r="J8" s="0" t="n">
        <v>4</v>
      </c>
      <c r="K8" s="0" t="n">
        <v>2</v>
      </c>
      <c r="L8" s="0" t="n">
        <v>4</v>
      </c>
      <c r="M8" s="0" t="n">
        <v>6</v>
      </c>
      <c r="N8" s="0" t="n">
        <v>6</v>
      </c>
      <c r="O8" s="0" t="n">
        <v>15.51</v>
      </c>
      <c r="P8" s="0" t="n">
        <v>1</v>
      </c>
      <c r="Q8" s="0" t="n">
        <v>15.51</v>
      </c>
      <c r="S8" s="0" t="s">
        <v>30</v>
      </c>
      <c r="T8" s="0" t="s">
        <v>35</v>
      </c>
    </row>
    <row r="9" customFormat="false" ht="12.8" hidden="false" customHeight="false" outlineLevel="0" collapsed="false">
      <c r="A9" s="2" t="s">
        <v>18</v>
      </c>
      <c r="B9" s="6"/>
      <c r="C9" s="0" t="s">
        <v>36</v>
      </c>
      <c r="D9" s="0" t="n">
        <v>9</v>
      </c>
      <c r="E9" s="0" t="n">
        <v>3</v>
      </c>
      <c r="F9" s="0" t="n">
        <v>4</v>
      </c>
      <c r="G9" s="0" t="n">
        <v>1.6</v>
      </c>
      <c r="H9" s="0" t="n">
        <v>1</v>
      </c>
      <c r="I9" s="0" t="n">
        <v>2</v>
      </c>
      <c r="J9" s="0" t="n">
        <v>4</v>
      </c>
      <c r="K9" s="0" t="n">
        <v>2</v>
      </c>
      <c r="L9" s="0" t="n">
        <v>4</v>
      </c>
      <c r="M9" s="0" t="n">
        <v>6</v>
      </c>
      <c r="N9" s="0" t="n">
        <v>6</v>
      </c>
      <c r="O9" s="0" t="n">
        <v>15.51</v>
      </c>
      <c r="P9" s="0" t="n">
        <v>1</v>
      </c>
      <c r="Q9" s="0" t="n">
        <v>15.51</v>
      </c>
      <c r="S9" s="0" t="s">
        <v>37</v>
      </c>
      <c r="T9" s="0" t="s">
        <v>38</v>
      </c>
    </row>
    <row r="10" customFormat="false" ht="12.8" hidden="false" customHeight="false" outlineLevel="0" collapsed="false">
      <c r="A10" s="2" t="s">
        <v>18</v>
      </c>
      <c r="B10" s="6"/>
      <c r="C10" s="0" t="s">
        <v>39</v>
      </c>
      <c r="D10" s="0" t="n">
        <v>13</v>
      </c>
      <c r="E10" s="0" t="n">
        <v>4</v>
      </c>
      <c r="F10" s="0" t="n">
        <v>6</v>
      </c>
      <c r="G10" s="0" t="n">
        <v>1.71</v>
      </c>
      <c r="H10" s="0" t="n">
        <v>1</v>
      </c>
      <c r="I10" s="0" t="n">
        <v>4</v>
      </c>
      <c r="J10" s="0" t="n">
        <v>6</v>
      </c>
      <c r="K10" s="0" t="n">
        <v>3</v>
      </c>
      <c r="L10" s="0" t="n">
        <v>6</v>
      </c>
      <c r="M10" s="0" t="n">
        <v>10</v>
      </c>
      <c r="N10" s="0" t="n">
        <v>9</v>
      </c>
      <c r="O10" s="0" t="n">
        <v>31.7</v>
      </c>
      <c r="P10" s="0" t="n">
        <v>1.5</v>
      </c>
      <c r="Q10" s="0" t="n">
        <v>47.55</v>
      </c>
      <c r="S10" s="0" t="s">
        <v>40</v>
      </c>
      <c r="T10" s="0" t="s">
        <v>41</v>
      </c>
    </row>
    <row r="11" customFormat="false" ht="12.8" hidden="false" customHeight="false" outlineLevel="0" collapsed="false">
      <c r="A11" s="2" t="s">
        <v>18</v>
      </c>
      <c r="B11" s="6"/>
      <c r="C11" s="0" t="s">
        <v>42</v>
      </c>
      <c r="D11" s="0" t="n">
        <v>13</v>
      </c>
      <c r="E11" s="0" t="n">
        <v>4</v>
      </c>
      <c r="F11" s="0" t="n">
        <v>6</v>
      </c>
      <c r="G11" s="0" t="n">
        <v>1.71</v>
      </c>
      <c r="H11" s="0" t="n">
        <v>1</v>
      </c>
      <c r="I11" s="0" t="n">
        <v>4</v>
      </c>
      <c r="J11" s="0" t="n">
        <v>6</v>
      </c>
      <c r="K11" s="0" t="n">
        <v>3</v>
      </c>
      <c r="L11" s="0" t="n">
        <v>6</v>
      </c>
      <c r="M11" s="0" t="n">
        <v>10</v>
      </c>
      <c r="N11" s="0" t="n">
        <v>9</v>
      </c>
      <c r="O11" s="0" t="n">
        <v>31.7</v>
      </c>
      <c r="P11" s="0" t="n">
        <v>1.5</v>
      </c>
      <c r="Q11" s="0" t="n">
        <v>47.55</v>
      </c>
      <c r="S11" s="0" t="s">
        <v>40</v>
      </c>
      <c r="T11" s="0" t="s">
        <v>43</v>
      </c>
    </row>
    <row r="12" customFormat="false" ht="12.8" hidden="false" customHeight="false" outlineLevel="0" collapsed="false">
      <c r="A12" s="2" t="s">
        <v>18</v>
      </c>
      <c r="B12" s="6"/>
      <c r="C12" s="0" t="s">
        <v>44</v>
      </c>
      <c r="D12" s="0" t="n">
        <v>9</v>
      </c>
      <c r="E12" s="0" t="n">
        <v>3</v>
      </c>
      <c r="F12" s="0" t="n">
        <v>4</v>
      </c>
      <c r="G12" s="0" t="n">
        <v>1.6</v>
      </c>
      <c r="H12" s="0" t="n">
        <v>1</v>
      </c>
      <c r="I12" s="0" t="n">
        <v>2</v>
      </c>
      <c r="J12" s="0" t="n">
        <v>4</v>
      </c>
      <c r="K12" s="0" t="n">
        <v>2</v>
      </c>
      <c r="L12" s="0" t="n">
        <v>4</v>
      </c>
      <c r="M12" s="0" t="n">
        <v>6</v>
      </c>
      <c r="N12" s="0" t="n">
        <v>6</v>
      </c>
      <c r="O12" s="0" t="n">
        <v>15.51</v>
      </c>
      <c r="P12" s="0" t="n">
        <v>1</v>
      </c>
      <c r="Q12" s="0" t="n">
        <v>15.51</v>
      </c>
      <c r="S12" s="0" t="s">
        <v>37</v>
      </c>
      <c r="T12" s="0" t="s">
        <v>45</v>
      </c>
    </row>
    <row r="13" customFormat="false" ht="12.8" hidden="false" customHeight="false" outlineLevel="0" collapsed="false">
      <c r="A13" s="2" t="s">
        <v>18</v>
      </c>
      <c r="B13" s="6"/>
      <c r="C13" s="0" t="s">
        <v>46</v>
      </c>
      <c r="D13" s="0" t="n">
        <v>13</v>
      </c>
      <c r="E13" s="0" t="n">
        <v>4</v>
      </c>
      <c r="F13" s="0" t="n">
        <v>6</v>
      </c>
      <c r="G13" s="0" t="n">
        <v>1.71</v>
      </c>
      <c r="H13" s="0" t="n">
        <v>1</v>
      </c>
      <c r="I13" s="0" t="n">
        <v>4</v>
      </c>
      <c r="J13" s="0" t="n">
        <v>6</v>
      </c>
      <c r="K13" s="0" t="n">
        <v>3</v>
      </c>
      <c r="L13" s="0" t="n">
        <v>6</v>
      </c>
      <c r="M13" s="0" t="n">
        <v>10</v>
      </c>
      <c r="N13" s="0" t="n">
        <v>9</v>
      </c>
      <c r="O13" s="0" t="n">
        <v>31.7</v>
      </c>
      <c r="P13" s="0" t="n">
        <v>1.5</v>
      </c>
      <c r="Q13" s="0" t="n">
        <v>47.55</v>
      </c>
      <c r="S13" s="0" t="s">
        <v>21</v>
      </c>
      <c r="T13" s="0" t="s">
        <v>47</v>
      </c>
    </row>
    <row r="14" customFormat="false" ht="12.8" hidden="false" customHeight="false" outlineLevel="0" collapsed="false">
      <c r="A14" s="2" t="s">
        <v>18</v>
      </c>
      <c r="B14" s="6"/>
      <c r="C14" s="0" t="s">
        <v>48</v>
      </c>
      <c r="D14" s="0" t="n">
        <v>13</v>
      </c>
      <c r="E14" s="0" t="n">
        <v>4</v>
      </c>
      <c r="F14" s="0" t="n">
        <v>6</v>
      </c>
      <c r="G14" s="0" t="n">
        <v>1.71</v>
      </c>
      <c r="H14" s="0" t="n">
        <v>1</v>
      </c>
      <c r="I14" s="0" t="n">
        <v>4</v>
      </c>
      <c r="J14" s="0" t="n">
        <v>6</v>
      </c>
      <c r="K14" s="0" t="n">
        <v>3</v>
      </c>
      <c r="L14" s="0" t="n">
        <v>6</v>
      </c>
      <c r="M14" s="0" t="n">
        <v>10</v>
      </c>
      <c r="N14" s="0" t="n">
        <v>9</v>
      </c>
      <c r="O14" s="0" t="n">
        <v>31.7</v>
      </c>
      <c r="P14" s="0" t="n">
        <v>1.5</v>
      </c>
      <c r="Q14" s="0" t="n">
        <v>47.55</v>
      </c>
      <c r="S14" s="0" t="s">
        <v>21</v>
      </c>
      <c r="T14" s="0" t="s">
        <v>49</v>
      </c>
    </row>
    <row r="15" customFormat="false" ht="12.8" hidden="false" customHeight="false" outlineLevel="0" collapsed="false">
      <c r="A15" s="2" t="s">
        <v>18</v>
      </c>
      <c r="B15" s="6"/>
      <c r="C15" s="0" t="s">
        <v>50</v>
      </c>
      <c r="D15" s="0" t="n">
        <v>13</v>
      </c>
      <c r="E15" s="0" t="n">
        <v>4</v>
      </c>
      <c r="F15" s="0" t="n">
        <v>6</v>
      </c>
      <c r="G15" s="0" t="n">
        <v>1.71</v>
      </c>
      <c r="H15" s="0" t="n">
        <v>1</v>
      </c>
      <c r="I15" s="0" t="n">
        <v>4</v>
      </c>
      <c r="J15" s="0" t="n">
        <v>6</v>
      </c>
      <c r="K15" s="0" t="n">
        <v>4</v>
      </c>
      <c r="L15" s="0" t="n">
        <v>6</v>
      </c>
      <c r="M15" s="0" t="n">
        <v>10</v>
      </c>
      <c r="N15" s="0" t="n">
        <v>10</v>
      </c>
      <c r="O15" s="0" t="n">
        <v>33.22</v>
      </c>
      <c r="P15" s="0" t="n">
        <v>2</v>
      </c>
      <c r="Q15" s="0" t="n">
        <v>66.44</v>
      </c>
      <c r="S15" s="0" t="s">
        <v>51</v>
      </c>
      <c r="T15" s="0" t="s">
        <v>52</v>
      </c>
    </row>
    <row r="16" customFormat="false" ht="12.8" hidden="false" customHeight="false" outlineLevel="0" collapsed="false">
      <c r="A16" s="2" t="s">
        <v>18</v>
      </c>
      <c r="B16" s="6"/>
      <c r="C16" s="8" t="s">
        <v>53</v>
      </c>
      <c r="D16" s="8" t="n">
        <v>13</v>
      </c>
      <c r="E16" s="8" t="n">
        <v>4</v>
      </c>
      <c r="F16" s="8" t="n">
        <v>6</v>
      </c>
      <c r="G16" s="8" t="n">
        <v>1.71</v>
      </c>
      <c r="H16" s="8" t="n">
        <v>1</v>
      </c>
      <c r="I16" s="8" t="n">
        <v>4</v>
      </c>
      <c r="J16" s="8" t="n">
        <v>6</v>
      </c>
      <c r="K16" s="8" t="n">
        <v>4</v>
      </c>
      <c r="L16" s="8" t="n">
        <v>6</v>
      </c>
      <c r="M16" s="8" t="n">
        <v>10</v>
      </c>
      <c r="N16" s="8" t="n">
        <v>10</v>
      </c>
      <c r="O16" s="8" t="n">
        <v>33.22</v>
      </c>
      <c r="P16" s="8" t="n">
        <v>2</v>
      </c>
      <c r="Q16" s="8" t="n">
        <v>66.44</v>
      </c>
      <c r="R16" s="8"/>
      <c r="S16" s="8" t="s">
        <v>54</v>
      </c>
      <c r="T16" s="8" t="s">
        <v>55</v>
      </c>
    </row>
    <row r="17" customFormat="false" ht="12.8" hidden="false" customHeight="false" outlineLevel="0" collapsed="false">
      <c r="A17" s="2"/>
      <c r="B17" s="2"/>
      <c r="C17" s="9" t="s">
        <v>27</v>
      </c>
      <c r="D17" s="9" t="n">
        <f aca="false">AVERAGE(D6:D16)</f>
        <v>11.1818181818182</v>
      </c>
      <c r="E17" s="9" t="n">
        <f aca="false">AVERAGE(E6:E16)</f>
        <v>3.54545454545455</v>
      </c>
      <c r="F17" s="9" t="n">
        <f aca="false">AVERAGE(F6:F16)</f>
        <v>5.09090909090909</v>
      </c>
      <c r="G17" s="9" t="n">
        <f aca="false">AVERAGE(G6:G16)</f>
        <v>1.66</v>
      </c>
      <c r="H17" s="9" t="n">
        <f aca="false">AVERAGE(H6:H16)</f>
        <v>1</v>
      </c>
      <c r="I17" s="9" t="n">
        <f aca="false">AVERAGE(I6:I16)</f>
        <v>3.09090909090909</v>
      </c>
      <c r="J17" s="9" t="n">
        <f aca="false">AVERAGE(J6:J16)</f>
        <v>5.09090909090909</v>
      </c>
      <c r="K17" s="9" t="n">
        <f aca="false">AVERAGE(K6:K16)</f>
        <v>2.72727272727273</v>
      </c>
      <c r="L17" s="9" t="n">
        <f aca="false">AVERAGE(L6:L16)</f>
        <v>5.09090909090909</v>
      </c>
      <c r="M17" s="9" t="n">
        <f aca="false">AVERAGE(M6:M16)</f>
        <v>8.18181818181818</v>
      </c>
      <c r="N17" s="9" t="n">
        <f aca="false">AVERAGE(N6:N16)</f>
        <v>7.81818181818182</v>
      </c>
      <c r="O17" s="9" t="n">
        <f aca="false">AVERAGE(O6:O16)</f>
        <v>24.6172727272727</v>
      </c>
      <c r="P17" s="9" t="n">
        <f aca="false">AVERAGE(P6:P16)</f>
        <v>1.36363636363636</v>
      </c>
      <c r="Q17" s="9" t="n">
        <f aca="false">AVERAGE(Q6:Q16)</f>
        <v>36.4209090909091</v>
      </c>
      <c r="R17" s="9"/>
      <c r="S17" s="10"/>
      <c r="T17" s="10"/>
    </row>
    <row r="19" customFormat="false" ht="12.8" hidden="false" customHeight="false" outlineLevel="0" collapsed="false">
      <c r="A19" s="0" t="s">
        <v>56</v>
      </c>
    </row>
    <row r="20" customFormat="false" ht="12.8" hidden="false" customHeight="false" outlineLevel="0" collapsed="false">
      <c r="A20" s="0" t="s">
        <v>57</v>
      </c>
    </row>
    <row r="22" customFormat="false" ht="24.45" hidden="false" customHeight="false" outlineLevel="0" collapsed="false">
      <c r="V22" s="11" t="s">
        <v>58</v>
      </c>
    </row>
    <row r="23" customFormat="false" ht="12.8" hidden="false" customHeight="false" outlineLevel="0" collapsed="false">
      <c r="A23" s="4" t="s">
        <v>59</v>
      </c>
      <c r="V23" s="0" t="s">
        <v>60</v>
      </c>
    </row>
    <row r="24" customFormat="false" ht="12.8" hidden="false" customHeight="false" outlineLevel="0" collapsed="false">
      <c r="A24" s="12" t="s">
        <v>0</v>
      </c>
      <c r="C24" s="0" t="s">
        <v>61</v>
      </c>
      <c r="D24" s="13"/>
      <c r="V24" s="14" t="s">
        <v>62</v>
      </c>
      <c r="W24" s="0" t="s">
        <v>63</v>
      </c>
    </row>
    <row r="25" customFormat="false" ht="12.8" hidden="false" customHeight="false" outlineLevel="0" collapsed="false">
      <c r="A25" s="12" t="s">
        <v>1</v>
      </c>
      <c r="C25" s="0" t="s">
        <v>64</v>
      </c>
      <c r="D25" s="13"/>
      <c r="E25" s="13"/>
      <c r="V25" s="14" t="s">
        <v>62</v>
      </c>
      <c r="W25" s="0" t="s">
        <v>65</v>
      </c>
    </row>
    <row r="26" customFormat="false" ht="12.8" hidden="false" customHeight="false" outlineLevel="0" collapsed="false">
      <c r="A26" s="12" t="s">
        <v>66</v>
      </c>
      <c r="C26" s="0" t="s">
        <v>67</v>
      </c>
      <c r="E26" s="13"/>
      <c r="V26" s="14" t="s">
        <v>62</v>
      </c>
      <c r="W26" s="0" t="s">
        <v>68</v>
      </c>
    </row>
    <row r="27" customFormat="false" ht="12.8" hidden="false" customHeight="false" outlineLevel="0" collapsed="false">
      <c r="A27" s="12" t="s">
        <v>3</v>
      </c>
      <c r="C27" s="0" t="s">
        <v>69</v>
      </c>
      <c r="V27" s="14" t="s">
        <v>70</v>
      </c>
      <c r="W27" s="0" t="s">
        <v>71</v>
      </c>
    </row>
    <row r="28" customFormat="false" ht="12.8" hidden="false" customHeight="false" outlineLevel="0" collapsed="false">
      <c r="A28" s="12" t="s">
        <v>4</v>
      </c>
      <c r="C28" s="0" t="s">
        <v>72</v>
      </c>
      <c r="D28" s="13"/>
    </row>
    <row r="29" customFormat="false" ht="12.8" hidden="false" customHeight="false" outlineLevel="0" collapsed="false">
      <c r="A29" s="12" t="s">
        <v>73</v>
      </c>
      <c r="C29" s="0" t="s">
        <v>74</v>
      </c>
      <c r="E29" s="13"/>
      <c r="V29" s="14"/>
    </row>
    <row r="30" customFormat="false" ht="12.8" hidden="false" customHeight="false" outlineLevel="0" collapsed="false">
      <c r="A30" s="12" t="s">
        <v>75</v>
      </c>
      <c r="C30" s="0" t="s">
        <v>76</v>
      </c>
      <c r="E30" s="13"/>
    </row>
    <row r="31" customFormat="false" ht="12.8" hidden="false" customHeight="false" outlineLevel="0" collapsed="false">
      <c r="A31" s="12" t="s">
        <v>77</v>
      </c>
      <c r="C31" s="0" t="s">
        <v>78</v>
      </c>
    </row>
    <row r="32" customFormat="false" ht="12.8" hidden="false" customHeight="false" outlineLevel="0" collapsed="false">
      <c r="A32" s="12" t="s">
        <v>79</v>
      </c>
      <c r="C32" s="0" t="s">
        <v>80</v>
      </c>
    </row>
    <row r="33" customFormat="false" ht="12.8" hidden="false" customHeight="false" outlineLevel="0" collapsed="false">
      <c r="A33" s="12" t="s">
        <v>9</v>
      </c>
      <c r="C33" s="0" t="s">
        <v>81</v>
      </c>
    </row>
    <row r="34" customFormat="false" ht="12.8" hidden="false" customHeight="false" outlineLevel="0" collapsed="false">
      <c r="A34" s="12" t="s">
        <v>10</v>
      </c>
      <c r="C34" s="0" t="s">
        <v>82</v>
      </c>
    </row>
    <row r="35" customFormat="false" ht="12.8" hidden="false" customHeight="false" outlineLevel="0" collapsed="false">
      <c r="A35" s="12" t="s">
        <v>11</v>
      </c>
      <c r="C35" s="0" t="s">
        <v>83</v>
      </c>
    </row>
    <row r="36" customFormat="false" ht="12.8" hidden="false" customHeight="false" outlineLevel="0" collapsed="false">
      <c r="A36" s="12" t="s">
        <v>12</v>
      </c>
      <c r="C36" s="0" t="s">
        <v>84</v>
      </c>
    </row>
    <row r="37" customFormat="false" ht="12.8" hidden="false" customHeight="false" outlineLevel="0" collapsed="false">
      <c r="A37" s="12" t="s">
        <v>13</v>
      </c>
      <c r="C37" s="0" t="s">
        <v>85</v>
      </c>
    </row>
    <row r="38" customFormat="false" ht="12.8" hidden="false" customHeight="false" outlineLevel="0" collapsed="false">
      <c r="A38" s="12" t="s">
        <v>14</v>
      </c>
      <c r="C38" s="0" t="s">
        <v>86</v>
      </c>
    </row>
    <row r="39" customFormat="false" ht="12.8" hidden="false" customHeight="false" outlineLevel="0" collapsed="false">
      <c r="A39" s="12" t="s">
        <v>15</v>
      </c>
      <c r="C39" s="0" t="s">
        <v>87</v>
      </c>
    </row>
    <row r="40" customFormat="false" ht="12.8" hidden="false" customHeight="false" outlineLevel="0" collapsed="false">
      <c r="A40" s="12" t="s">
        <v>16</v>
      </c>
      <c r="C40" s="0" t="s">
        <v>88</v>
      </c>
    </row>
    <row r="41" customFormat="false" ht="12.8" hidden="false" customHeight="false" outlineLevel="0" collapsed="false">
      <c r="A41" s="12" t="s">
        <v>89</v>
      </c>
      <c r="C41" s="0" t="s">
        <v>90</v>
      </c>
    </row>
    <row r="42" customFormat="false" ht="12.8" hidden="false" customHeight="false" outlineLevel="0" collapsed="false">
      <c r="A42" s="12" t="s">
        <v>91</v>
      </c>
      <c r="C42" s="0" t="s">
        <v>92</v>
      </c>
    </row>
  </sheetData>
  <mergeCells count="3">
    <mergeCell ref="A2:A17"/>
    <mergeCell ref="B2:B5"/>
    <mergeCell ref="B6:B1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4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A22" activeCellId="0" sqref="A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15"/>
    <col collapsed="false" customWidth="true" hidden="false" outlineLevel="0" max="2" min="2" style="0" width="8.59"/>
    <col collapsed="false" customWidth="true" hidden="false" outlineLevel="0" max="5" min="4" style="0" width="3.71"/>
    <col collapsed="false" customWidth="true" hidden="false" outlineLevel="0" max="6" min="6" style="0" width="3.6"/>
    <col collapsed="false" customWidth="true" hidden="false" outlineLevel="0" max="7" min="7" style="0" width="3.92"/>
    <col collapsed="false" customWidth="true" hidden="false" outlineLevel="0" max="8" min="8" style="0" width="4.44"/>
    <col collapsed="false" customWidth="true" hidden="false" outlineLevel="0" max="9" min="9" style="0" width="3.92"/>
    <col collapsed="false" customWidth="true" hidden="false" outlineLevel="0" max="10" min="10" style="0" width="3.82"/>
    <col collapsed="false" customWidth="true" hidden="false" outlineLevel="0" max="11" min="11" style="0" width="5.19"/>
    <col collapsed="false" customWidth="true" hidden="false" outlineLevel="0" max="12" min="12" style="0" width="3.71"/>
    <col collapsed="false" customWidth="true" hidden="false" outlineLevel="0" max="13" min="13" style="0" width="6.26"/>
    <col collapsed="false" customWidth="true" hidden="false" outlineLevel="0" max="14" min="14" style="0" width="5.93"/>
    <col collapsed="false" customWidth="true" hidden="false" outlineLevel="0" max="16" min="16" style="0" width="6.36"/>
    <col collapsed="false" customWidth="true" hidden="false" outlineLevel="0" max="18" min="18" style="0" width="2.86"/>
    <col collapsed="false" customWidth="true" hidden="false" outlineLevel="0" max="19" min="19" style="0" width="32.77"/>
  </cols>
  <sheetData>
    <row r="1" customFormat="false" ht="12.8" hidden="false" customHeight="false" outlineLevel="0" collapsed="false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/>
      <c r="S1" s="1" t="s">
        <v>16</v>
      </c>
      <c r="T1" s="1" t="s">
        <v>17</v>
      </c>
    </row>
    <row r="2" customFormat="false" ht="12.8" hidden="false" customHeight="true" outlineLevel="0" collapsed="false">
      <c r="A2" s="2" t="s">
        <v>93</v>
      </c>
      <c r="B2" s="3" t="s">
        <v>19</v>
      </c>
      <c r="C2" s="4" t="s">
        <v>94</v>
      </c>
      <c r="D2" s="0" t="n">
        <v>9</v>
      </c>
      <c r="E2" s="0" t="n">
        <v>3</v>
      </c>
      <c r="F2" s="0" t="n">
        <v>4</v>
      </c>
      <c r="G2" s="0" t="n">
        <v>1.6</v>
      </c>
      <c r="H2" s="0" t="n">
        <v>1</v>
      </c>
      <c r="I2" s="0" t="n">
        <v>2</v>
      </c>
      <c r="J2" s="0" t="n">
        <v>4</v>
      </c>
      <c r="K2" s="0" t="n">
        <v>2</v>
      </c>
      <c r="L2" s="0" t="n">
        <v>4</v>
      </c>
      <c r="M2" s="0" t="n">
        <v>6</v>
      </c>
      <c r="N2" s="0" t="n">
        <v>6</v>
      </c>
      <c r="O2" s="0" t="n">
        <v>15.51</v>
      </c>
      <c r="P2" s="0" t="n">
        <v>1</v>
      </c>
      <c r="Q2" s="0" t="n">
        <v>15.51</v>
      </c>
      <c r="S2" s="0" t="s">
        <v>30</v>
      </c>
      <c r="T2" s="0" t="s">
        <v>95</v>
      </c>
    </row>
    <row r="3" customFormat="false" ht="12.8" hidden="false" customHeight="false" outlineLevel="0" collapsed="false">
      <c r="A3" s="2" t="s">
        <v>93</v>
      </c>
      <c r="B3" s="3"/>
      <c r="C3" s="4" t="s">
        <v>96</v>
      </c>
      <c r="D3" s="0" t="n">
        <v>13</v>
      </c>
      <c r="E3" s="0" t="n">
        <v>4</v>
      </c>
      <c r="F3" s="0" t="n">
        <v>6</v>
      </c>
      <c r="G3" s="0" t="n">
        <v>1.71</v>
      </c>
      <c r="H3" s="0" t="n">
        <v>1</v>
      </c>
      <c r="I3" s="0" t="n">
        <v>4</v>
      </c>
      <c r="J3" s="0" t="n">
        <v>6</v>
      </c>
      <c r="K3" s="0" t="n">
        <v>4</v>
      </c>
      <c r="L3" s="0" t="n">
        <v>6</v>
      </c>
      <c r="M3" s="0" t="n">
        <v>10</v>
      </c>
      <c r="N3" s="0" t="n">
        <v>10</v>
      </c>
      <c r="O3" s="0" t="n">
        <v>33.22</v>
      </c>
      <c r="P3" s="0" t="n">
        <v>2</v>
      </c>
      <c r="Q3" s="0" t="n">
        <v>66.44</v>
      </c>
      <c r="S3" s="0" t="s">
        <v>97</v>
      </c>
      <c r="T3" s="0" t="s">
        <v>98</v>
      </c>
    </row>
    <row r="4" customFormat="false" ht="12.8" hidden="false" customHeight="false" outlineLevel="0" collapsed="false">
      <c r="A4" s="2" t="s">
        <v>93</v>
      </c>
      <c r="B4" s="3"/>
      <c r="C4" s="4" t="s">
        <v>99</v>
      </c>
      <c r="D4" s="0" t="n">
        <v>13</v>
      </c>
      <c r="E4" s="0" t="n">
        <v>4</v>
      </c>
      <c r="F4" s="0" t="n">
        <v>6</v>
      </c>
      <c r="G4" s="0" t="n">
        <v>1.71</v>
      </c>
      <c r="H4" s="0" t="n">
        <v>1</v>
      </c>
      <c r="I4" s="0" t="n">
        <v>4</v>
      </c>
      <c r="J4" s="0" t="n">
        <v>6</v>
      </c>
      <c r="K4" s="0" t="n">
        <v>4</v>
      </c>
      <c r="L4" s="0" t="n">
        <v>6</v>
      </c>
      <c r="M4" s="0" t="n">
        <v>10</v>
      </c>
      <c r="N4" s="0" t="n">
        <v>10</v>
      </c>
      <c r="O4" s="0" t="n">
        <v>33.22</v>
      </c>
      <c r="P4" s="0" t="n">
        <v>2</v>
      </c>
      <c r="Q4" s="0" t="n">
        <v>66.44</v>
      </c>
      <c r="S4" s="0" t="s">
        <v>97</v>
      </c>
      <c r="T4" s="0" t="s">
        <v>100</v>
      </c>
      <c r="U4" s="13"/>
    </row>
    <row r="5" customFormat="false" ht="12.8" hidden="false" customHeight="false" outlineLevel="0" collapsed="false">
      <c r="A5" s="2" t="s">
        <v>93</v>
      </c>
      <c r="B5" s="3"/>
      <c r="C5" s="4" t="s">
        <v>101</v>
      </c>
      <c r="D5" s="0" t="n">
        <v>9</v>
      </c>
      <c r="E5" s="0" t="n">
        <v>3</v>
      </c>
      <c r="F5" s="0" t="n">
        <v>4</v>
      </c>
      <c r="G5" s="0" t="n">
        <v>1.6</v>
      </c>
      <c r="H5" s="0" t="n">
        <v>1</v>
      </c>
      <c r="I5" s="0" t="n">
        <v>2</v>
      </c>
      <c r="J5" s="0" t="n">
        <v>4</v>
      </c>
      <c r="K5" s="0" t="n">
        <v>2</v>
      </c>
      <c r="L5" s="0" t="n">
        <v>4</v>
      </c>
      <c r="M5" s="0" t="n">
        <v>6</v>
      </c>
      <c r="N5" s="0" t="n">
        <v>6</v>
      </c>
      <c r="O5" s="0" t="n">
        <v>15.51</v>
      </c>
      <c r="P5" s="0" t="n">
        <v>1</v>
      </c>
      <c r="Q5" s="0" t="n">
        <v>15.51</v>
      </c>
      <c r="S5" s="0" t="s">
        <v>30</v>
      </c>
      <c r="T5" s="0" t="s">
        <v>102</v>
      </c>
      <c r="U5" s="13"/>
    </row>
    <row r="6" customFormat="false" ht="12.8" hidden="false" customHeight="false" outlineLevel="0" collapsed="false">
      <c r="A6" s="2" t="s">
        <v>93</v>
      </c>
      <c r="B6" s="3"/>
      <c r="C6" s="4" t="s">
        <v>103</v>
      </c>
      <c r="D6" s="0" t="n">
        <v>13</v>
      </c>
      <c r="E6" s="0" t="n">
        <v>4</v>
      </c>
      <c r="F6" s="0" t="n">
        <v>6</v>
      </c>
      <c r="G6" s="0" t="n">
        <v>1.71</v>
      </c>
      <c r="H6" s="0" t="n">
        <v>1</v>
      </c>
      <c r="I6" s="0" t="n">
        <v>4</v>
      </c>
      <c r="J6" s="0" t="n">
        <v>6</v>
      </c>
      <c r="K6" s="0" t="n">
        <v>4</v>
      </c>
      <c r="L6" s="0" t="n">
        <v>6</v>
      </c>
      <c r="M6" s="0" t="n">
        <v>10</v>
      </c>
      <c r="N6" s="0" t="n">
        <v>10</v>
      </c>
      <c r="O6" s="0" t="n">
        <v>33.22</v>
      </c>
      <c r="P6" s="0" t="n">
        <v>2</v>
      </c>
      <c r="Q6" s="0" t="n">
        <v>66.44</v>
      </c>
      <c r="S6" s="0" t="s">
        <v>104</v>
      </c>
      <c r="T6" s="0" t="s">
        <v>105</v>
      </c>
      <c r="U6" s="13"/>
    </row>
    <row r="7" customFormat="false" ht="12.8" hidden="false" customHeight="false" outlineLevel="0" collapsed="false">
      <c r="A7" s="2"/>
      <c r="B7" s="2"/>
      <c r="C7" s="5" t="s">
        <v>27</v>
      </c>
      <c r="D7" s="5" t="n">
        <f aca="false">AVERAGE(D2:D6)</f>
        <v>11.4</v>
      </c>
      <c r="E7" s="5" t="n">
        <f aca="false">AVERAGE(E2:E6)</f>
        <v>3.6</v>
      </c>
      <c r="F7" s="5" t="n">
        <f aca="false">AVERAGE(F2:F6)</f>
        <v>5.2</v>
      </c>
      <c r="G7" s="5" t="n">
        <f aca="false">AVERAGE(G2:G6)</f>
        <v>1.666</v>
      </c>
      <c r="H7" s="5" t="n">
        <f aca="false">AVERAGE(H2:H6)</f>
        <v>1</v>
      </c>
      <c r="I7" s="5" t="n">
        <f aca="false">AVERAGE(I2:I6)</f>
        <v>3.2</v>
      </c>
      <c r="J7" s="5" t="n">
        <f aca="false">AVERAGE(J2:J6)</f>
        <v>5.2</v>
      </c>
      <c r="K7" s="5" t="n">
        <f aca="false">AVERAGE(K2:K6)</f>
        <v>3.2</v>
      </c>
      <c r="L7" s="5" t="n">
        <f aca="false">AVERAGE(L2:L6)</f>
        <v>5.2</v>
      </c>
      <c r="M7" s="5" t="n">
        <f aca="false">AVERAGE(M2:M6)</f>
        <v>8.4</v>
      </c>
      <c r="N7" s="5" t="n">
        <f aca="false">AVERAGE(N2:N6)</f>
        <v>8.4</v>
      </c>
      <c r="O7" s="5" t="n">
        <f aca="false">AVERAGE(O2:O6)</f>
        <v>26.136</v>
      </c>
      <c r="P7" s="5" t="n">
        <f aca="false">AVERAGE(P2:P6)</f>
        <v>1.6</v>
      </c>
      <c r="Q7" s="5" t="n">
        <f aca="false">AVERAGE(Q2:Q6)</f>
        <v>46.068</v>
      </c>
      <c r="U7" s="13"/>
    </row>
    <row r="8" customFormat="false" ht="12.8" hidden="false" customHeight="false" outlineLevel="0" collapsed="false">
      <c r="A8" s="2" t="s">
        <v>93</v>
      </c>
      <c r="B8" s="6" t="s">
        <v>28</v>
      </c>
      <c r="C8" s="7" t="s">
        <v>106</v>
      </c>
      <c r="D8" s="7" t="n">
        <v>9</v>
      </c>
      <c r="E8" s="7" t="n">
        <v>3</v>
      </c>
      <c r="F8" s="7" t="n">
        <v>4</v>
      </c>
      <c r="G8" s="7" t="n">
        <v>1.6</v>
      </c>
      <c r="H8" s="7" t="n">
        <v>1</v>
      </c>
      <c r="I8" s="7" t="n">
        <v>2</v>
      </c>
      <c r="J8" s="7" t="n">
        <v>4</v>
      </c>
      <c r="K8" s="7" t="n">
        <v>2</v>
      </c>
      <c r="L8" s="7" t="n">
        <v>4</v>
      </c>
      <c r="M8" s="7" t="n">
        <v>6</v>
      </c>
      <c r="N8" s="7" t="n">
        <v>6</v>
      </c>
      <c r="O8" s="7" t="n">
        <v>15.51</v>
      </c>
      <c r="P8" s="7" t="n">
        <v>1</v>
      </c>
      <c r="Q8" s="7" t="n">
        <v>15.51</v>
      </c>
      <c r="R8" s="7"/>
      <c r="S8" s="7" t="s">
        <v>30</v>
      </c>
      <c r="T8" s="0" t="s">
        <v>102</v>
      </c>
      <c r="U8" s="13"/>
    </row>
    <row r="9" customFormat="false" ht="12.8" hidden="false" customHeight="false" outlineLevel="0" collapsed="false">
      <c r="A9" s="2" t="s">
        <v>93</v>
      </c>
      <c r="B9" s="6"/>
      <c r="C9" s="0" t="s">
        <v>107</v>
      </c>
      <c r="D9" s="0" t="n">
        <v>9</v>
      </c>
      <c r="E9" s="0" t="n">
        <v>3</v>
      </c>
      <c r="F9" s="0" t="n">
        <v>4</v>
      </c>
      <c r="G9" s="0" t="n">
        <v>1.6</v>
      </c>
      <c r="H9" s="0" t="n">
        <v>1</v>
      </c>
      <c r="I9" s="0" t="n">
        <v>2</v>
      </c>
      <c r="J9" s="0" t="n">
        <v>4</v>
      </c>
      <c r="K9" s="0" t="n">
        <v>2</v>
      </c>
      <c r="L9" s="0" t="n">
        <v>4</v>
      </c>
      <c r="M9" s="0" t="n">
        <v>6</v>
      </c>
      <c r="N9" s="0" t="n">
        <v>6</v>
      </c>
      <c r="O9" s="0" t="n">
        <v>15.51</v>
      </c>
      <c r="P9" s="0" t="n">
        <v>1</v>
      </c>
      <c r="Q9" s="0" t="n">
        <v>15.51</v>
      </c>
      <c r="S9" s="0" t="s">
        <v>108</v>
      </c>
      <c r="T9" s="0" t="s">
        <v>109</v>
      </c>
      <c r="U9" s="13"/>
    </row>
    <row r="10" customFormat="false" ht="12.8" hidden="false" customHeight="false" outlineLevel="0" collapsed="false">
      <c r="A10" s="2" t="s">
        <v>93</v>
      </c>
      <c r="B10" s="6"/>
      <c r="C10" s="0" t="s">
        <v>110</v>
      </c>
      <c r="D10" s="0" t="n">
        <v>9</v>
      </c>
      <c r="E10" s="0" t="n">
        <v>3</v>
      </c>
      <c r="F10" s="0" t="n">
        <v>4</v>
      </c>
      <c r="G10" s="0" t="n">
        <v>1.6</v>
      </c>
      <c r="H10" s="0" t="n">
        <v>1</v>
      </c>
      <c r="I10" s="0" t="n">
        <v>2</v>
      </c>
      <c r="J10" s="0" t="n">
        <v>4</v>
      </c>
      <c r="K10" s="0" t="n">
        <v>2</v>
      </c>
      <c r="L10" s="0" t="n">
        <v>4</v>
      </c>
      <c r="M10" s="0" t="n">
        <v>6</v>
      </c>
      <c r="N10" s="0" t="n">
        <v>6</v>
      </c>
      <c r="O10" s="0" t="n">
        <v>15.51</v>
      </c>
      <c r="P10" s="0" t="n">
        <v>1</v>
      </c>
      <c r="Q10" s="0" t="n">
        <v>15.51</v>
      </c>
      <c r="S10" s="0" t="s">
        <v>30</v>
      </c>
      <c r="T10" s="0" t="s">
        <v>102</v>
      </c>
      <c r="U10" s="13"/>
    </row>
    <row r="11" customFormat="false" ht="12.8" hidden="false" customHeight="false" outlineLevel="0" collapsed="false">
      <c r="A11" s="2" t="s">
        <v>93</v>
      </c>
      <c r="B11" s="6"/>
      <c r="C11" s="0" t="s">
        <v>111</v>
      </c>
      <c r="D11" s="0" t="n">
        <v>9</v>
      </c>
      <c r="E11" s="0" t="n">
        <v>3</v>
      </c>
      <c r="F11" s="0" t="n">
        <v>4</v>
      </c>
      <c r="G11" s="0" t="n">
        <v>1.6</v>
      </c>
      <c r="H11" s="0" t="n">
        <v>1</v>
      </c>
      <c r="I11" s="0" t="n">
        <v>2</v>
      </c>
      <c r="J11" s="0" t="n">
        <v>4</v>
      </c>
      <c r="K11" s="0" t="n">
        <v>2</v>
      </c>
      <c r="L11" s="0" t="n">
        <v>4</v>
      </c>
      <c r="M11" s="0" t="n">
        <v>6</v>
      </c>
      <c r="N11" s="0" t="n">
        <v>6</v>
      </c>
      <c r="O11" s="0" t="n">
        <v>15.51</v>
      </c>
      <c r="P11" s="0" t="n">
        <v>1</v>
      </c>
      <c r="Q11" s="0" t="n">
        <v>15.51</v>
      </c>
      <c r="S11" s="0" t="s">
        <v>30</v>
      </c>
      <c r="T11" s="0" t="s">
        <v>112</v>
      </c>
    </row>
    <row r="12" customFormat="false" ht="12.8" hidden="false" customHeight="false" outlineLevel="0" collapsed="false">
      <c r="A12" s="2" t="s">
        <v>93</v>
      </c>
      <c r="B12" s="6"/>
      <c r="C12" s="0" t="s">
        <v>113</v>
      </c>
      <c r="D12" s="0" t="n">
        <v>9</v>
      </c>
      <c r="E12" s="0" t="n">
        <v>3</v>
      </c>
      <c r="F12" s="0" t="n">
        <v>4</v>
      </c>
      <c r="G12" s="0" t="n">
        <v>1.6</v>
      </c>
      <c r="H12" s="0" t="n">
        <v>1</v>
      </c>
      <c r="I12" s="0" t="n">
        <v>2</v>
      </c>
      <c r="J12" s="0" t="n">
        <v>4</v>
      </c>
      <c r="K12" s="0" t="n">
        <v>2</v>
      </c>
      <c r="L12" s="0" t="n">
        <v>4</v>
      </c>
      <c r="M12" s="0" t="n">
        <v>6</v>
      </c>
      <c r="N12" s="0" t="n">
        <v>6</v>
      </c>
      <c r="O12" s="0" t="n">
        <v>15.51</v>
      </c>
      <c r="P12" s="0" t="n">
        <v>1</v>
      </c>
      <c r="Q12" s="0" t="n">
        <v>15.51</v>
      </c>
      <c r="S12" s="0" t="s">
        <v>30</v>
      </c>
      <c r="T12" s="0" t="s">
        <v>114</v>
      </c>
    </row>
    <row r="13" customFormat="false" ht="12.8" hidden="false" customHeight="false" outlineLevel="0" collapsed="false">
      <c r="A13" s="2" t="s">
        <v>93</v>
      </c>
      <c r="B13" s="6"/>
      <c r="C13" s="0" t="s">
        <v>115</v>
      </c>
      <c r="D13" s="0" t="n">
        <v>9</v>
      </c>
      <c r="E13" s="0" t="n">
        <v>3</v>
      </c>
      <c r="F13" s="0" t="n">
        <v>4</v>
      </c>
      <c r="G13" s="0" t="n">
        <v>1.6</v>
      </c>
      <c r="H13" s="0" t="n">
        <v>1</v>
      </c>
      <c r="I13" s="0" t="n">
        <v>2</v>
      </c>
      <c r="J13" s="0" t="n">
        <v>4</v>
      </c>
      <c r="K13" s="0" t="n">
        <v>2</v>
      </c>
      <c r="L13" s="0" t="n">
        <v>4</v>
      </c>
      <c r="M13" s="0" t="n">
        <v>6</v>
      </c>
      <c r="N13" s="0" t="n">
        <v>6</v>
      </c>
      <c r="O13" s="0" t="n">
        <v>15.51</v>
      </c>
      <c r="P13" s="0" t="n">
        <v>1</v>
      </c>
      <c r="Q13" s="0" t="n">
        <v>15.51</v>
      </c>
      <c r="S13" s="0" t="s">
        <v>30</v>
      </c>
      <c r="T13" s="0" t="s">
        <v>116</v>
      </c>
    </row>
    <row r="14" customFormat="false" ht="12.8" hidden="false" customHeight="false" outlineLevel="0" collapsed="false">
      <c r="A14" s="2" t="s">
        <v>93</v>
      </c>
      <c r="B14" s="6"/>
      <c r="C14" s="0" t="s">
        <v>117</v>
      </c>
      <c r="D14" s="0" t="n">
        <v>9</v>
      </c>
      <c r="E14" s="0" t="n">
        <v>3</v>
      </c>
      <c r="F14" s="0" t="n">
        <v>4</v>
      </c>
      <c r="G14" s="0" t="n">
        <v>1.6</v>
      </c>
      <c r="H14" s="0" t="n">
        <v>1</v>
      </c>
      <c r="I14" s="0" t="n">
        <v>2</v>
      </c>
      <c r="J14" s="0" t="n">
        <v>4</v>
      </c>
      <c r="K14" s="0" t="n">
        <v>2</v>
      </c>
      <c r="L14" s="0" t="n">
        <v>4</v>
      </c>
      <c r="M14" s="0" t="n">
        <v>6</v>
      </c>
      <c r="N14" s="0" t="n">
        <v>6</v>
      </c>
      <c r="O14" s="0" t="n">
        <v>15.51</v>
      </c>
      <c r="P14" s="0" t="n">
        <v>1</v>
      </c>
      <c r="Q14" s="0" t="n">
        <v>15.51</v>
      </c>
      <c r="S14" s="0" t="s">
        <v>30</v>
      </c>
      <c r="T14" s="0" t="s">
        <v>118</v>
      </c>
    </row>
    <row r="15" customFormat="false" ht="12.8" hidden="false" customHeight="false" outlineLevel="0" collapsed="false">
      <c r="A15" s="2" t="s">
        <v>93</v>
      </c>
      <c r="B15" s="6"/>
      <c r="C15" s="0" t="s">
        <v>119</v>
      </c>
      <c r="D15" s="0" t="n">
        <v>9</v>
      </c>
      <c r="E15" s="0" t="n">
        <v>3</v>
      </c>
      <c r="F15" s="0" t="n">
        <v>4</v>
      </c>
      <c r="G15" s="0" t="n">
        <v>1.6</v>
      </c>
      <c r="H15" s="0" t="n">
        <v>1</v>
      </c>
      <c r="I15" s="0" t="n">
        <v>2</v>
      </c>
      <c r="J15" s="0" t="n">
        <v>4</v>
      </c>
      <c r="K15" s="0" t="n">
        <v>1</v>
      </c>
      <c r="L15" s="0" t="n">
        <v>4</v>
      </c>
      <c r="M15" s="0" t="n">
        <v>6</v>
      </c>
      <c r="N15" s="0" t="n">
        <v>5</v>
      </c>
      <c r="O15" s="0" t="n">
        <v>13.93</v>
      </c>
      <c r="P15" s="0" t="n">
        <v>0.5</v>
      </c>
      <c r="Q15" s="0" t="n">
        <v>6.97</v>
      </c>
      <c r="S15" s="0" t="s">
        <v>120</v>
      </c>
      <c r="T15" s="0" t="s">
        <v>121</v>
      </c>
    </row>
    <row r="16" customFormat="false" ht="12.8" hidden="false" customHeight="false" outlineLevel="0" collapsed="false">
      <c r="A16" s="2" t="s">
        <v>93</v>
      </c>
      <c r="B16" s="6"/>
      <c r="C16" s="0" t="s">
        <v>122</v>
      </c>
      <c r="D16" s="0" t="n">
        <v>9</v>
      </c>
      <c r="E16" s="0" t="n">
        <v>3</v>
      </c>
      <c r="F16" s="0" t="n">
        <v>4</v>
      </c>
      <c r="G16" s="0" t="n">
        <v>1.6</v>
      </c>
      <c r="H16" s="0" t="n">
        <v>1</v>
      </c>
      <c r="I16" s="0" t="n">
        <v>2</v>
      </c>
      <c r="J16" s="0" t="n">
        <v>4</v>
      </c>
      <c r="K16" s="0" t="n">
        <v>1</v>
      </c>
      <c r="L16" s="0" t="n">
        <v>4</v>
      </c>
      <c r="M16" s="0" t="n">
        <v>6</v>
      </c>
      <c r="N16" s="0" t="n">
        <v>5</v>
      </c>
      <c r="O16" s="0" t="n">
        <v>13.93</v>
      </c>
      <c r="P16" s="0" t="n">
        <v>0.5</v>
      </c>
      <c r="Q16" s="0" t="n">
        <v>6.97</v>
      </c>
      <c r="S16" s="0" t="s">
        <v>123</v>
      </c>
      <c r="T16" s="0" t="s">
        <v>124</v>
      </c>
    </row>
    <row r="17" customFormat="false" ht="12.8" hidden="false" customHeight="false" outlineLevel="0" collapsed="false">
      <c r="A17" s="2" t="s">
        <v>93</v>
      </c>
      <c r="B17" s="6"/>
      <c r="C17" s="0" t="s">
        <v>125</v>
      </c>
      <c r="D17" s="0" t="n">
        <v>9</v>
      </c>
      <c r="E17" s="0" t="n">
        <v>3</v>
      </c>
      <c r="F17" s="0" t="n">
        <v>4</v>
      </c>
      <c r="G17" s="0" t="n">
        <v>1.6</v>
      </c>
      <c r="H17" s="0" t="n">
        <v>1</v>
      </c>
      <c r="I17" s="0" t="n">
        <v>2</v>
      </c>
      <c r="J17" s="0" t="n">
        <v>4</v>
      </c>
      <c r="K17" s="0" t="n">
        <v>2</v>
      </c>
      <c r="L17" s="0" t="n">
        <v>4</v>
      </c>
      <c r="M17" s="0" t="n">
        <v>6</v>
      </c>
      <c r="N17" s="0" t="n">
        <v>6</v>
      </c>
      <c r="O17" s="0" t="n">
        <v>15.51</v>
      </c>
      <c r="P17" s="0" t="n">
        <v>1</v>
      </c>
      <c r="Q17" s="0" t="n">
        <v>15.51</v>
      </c>
      <c r="S17" s="0" t="s">
        <v>126</v>
      </c>
      <c r="T17" s="0" t="s">
        <v>127</v>
      </c>
    </row>
    <row r="18" customFormat="false" ht="12.8" hidden="false" customHeight="false" outlineLevel="0" collapsed="false">
      <c r="A18" s="2"/>
      <c r="B18" s="2"/>
      <c r="C18" s="0" t="s">
        <v>128</v>
      </c>
      <c r="D18" s="0" t="n">
        <v>9</v>
      </c>
      <c r="E18" s="0" t="n">
        <v>3</v>
      </c>
      <c r="F18" s="0" t="n">
        <v>4</v>
      </c>
      <c r="G18" s="0" t="n">
        <v>1.6</v>
      </c>
      <c r="H18" s="0" t="n">
        <v>1</v>
      </c>
      <c r="I18" s="0" t="n">
        <v>2</v>
      </c>
      <c r="J18" s="0" t="n">
        <v>4</v>
      </c>
      <c r="K18" s="0" t="n">
        <v>2</v>
      </c>
      <c r="L18" s="0" t="n">
        <v>4</v>
      </c>
      <c r="M18" s="0" t="n">
        <v>6</v>
      </c>
      <c r="N18" s="0" t="n">
        <v>6</v>
      </c>
      <c r="O18" s="0" t="n">
        <v>15.51</v>
      </c>
      <c r="P18" s="0" t="n">
        <v>1</v>
      </c>
      <c r="Q18" s="0" t="n">
        <v>15.51</v>
      </c>
      <c r="S18" s="0" t="s">
        <v>126</v>
      </c>
      <c r="T18" s="10" t="s">
        <v>129</v>
      </c>
    </row>
    <row r="19" customFormat="false" ht="12.8" hidden="false" customHeight="false" outlineLevel="0" collapsed="false">
      <c r="A19" s="2"/>
      <c r="B19" s="2"/>
      <c r="C19" s="9" t="s">
        <v>27</v>
      </c>
      <c r="D19" s="9" t="n">
        <f aca="false">AVERAGE(D8:D18)</f>
        <v>9</v>
      </c>
      <c r="E19" s="9" t="n">
        <f aca="false">AVERAGE(E8:E18)</f>
        <v>3</v>
      </c>
      <c r="F19" s="9" t="n">
        <f aca="false">AVERAGE(F8:F18)</f>
        <v>4</v>
      </c>
      <c r="G19" s="9" t="n">
        <f aca="false">AVERAGE(G8:G18)</f>
        <v>1.6</v>
      </c>
      <c r="H19" s="9" t="n">
        <f aca="false">AVERAGE(H8:H18)</f>
        <v>1</v>
      </c>
      <c r="I19" s="9" t="n">
        <f aca="false">AVERAGE(I8:I18)</f>
        <v>2</v>
      </c>
      <c r="J19" s="9" t="n">
        <f aca="false">AVERAGE(J8:J18)</f>
        <v>4</v>
      </c>
      <c r="K19" s="9" t="n">
        <f aca="false">AVERAGE(K8:K18)</f>
        <v>1.81818181818182</v>
      </c>
      <c r="L19" s="9" t="n">
        <f aca="false">AVERAGE(L8:L18)</f>
        <v>4</v>
      </c>
      <c r="M19" s="9" t="n">
        <f aca="false">AVERAGE(M8:M18)</f>
        <v>6</v>
      </c>
      <c r="N19" s="9" t="n">
        <f aca="false">AVERAGE(N8:N18)</f>
        <v>5.81818181818182</v>
      </c>
      <c r="O19" s="9" t="n">
        <f aca="false">AVERAGE(O8:O18)</f>
        <v>15.2227272727273</v>
      </c>
      <c r="P19" s="9" t="n">
        <f aca="false">AVERAGE(P8:P18)</f>
        <v>0.909090909090909</v>
      </c>
      <c r="Q19" s="9" t="n">
        <f aca="false">AVERAGE(Q8:Q18)</f>
        <v>13.9572727272727</v>
      </c>
      <c r="R19" s="10"/>
      <c r="S19" s="10"/>
      <c r="T19" s="10"/>
      <c r="U19" s="10"/>
    </row>
    <row r="21" customFormat="false" ht="12.8" hidden="false" customHeight="false" outlineLevel="0" collapsed="false">
      <c r="A21" s="0" t="s">
        <v>56</v>
      </c>
    </row>
    <row r="22" customFormat="false" ht="12.8" hidden="false" customHeight="false" outlineLevel="0" collapsed="false">
      <c r="B22" s="0" t="s">
        <v>130</v>
      </c>
    </row>
    <row r="24" customFormat="false" ht="12.8" hidden="false" customHeight="false" outlineLevel="0" collapsed="false">
      <c r="C24" s="4"/>
      <c r="D24" s="4"/>
    </row>
    <row r="25" customFormat="false" ht="12.8" hidden="false" customHeight="false" outlineLevel="0" collapsed="false">
      <c r="A25" s="4" t="s">
        <v>59</v>
      </c>
    </row>
    <row r="26" customFormat="false" ht="12.8" hidden="false" customHeight="false" outlineLevel="0" collapsed="false">
      <c r="A26" s="12" t="s">
        <v>0</v>
      </c>
      <c r="C26" s="0" t="s">
        <v>61</v>
      </c>
    </row>
    <row r="27" customFormat="false" ht="12.8" hidden="false" customHeight="false" outlineLevel="0" collapsed="false">
      <c r="A27" s="12" t="s">
        <v>1</v>
      </c>
      <c r="C27" s="0" t="s">
        <v>64</v>
      </c>
    </row>
    <row r="28" customFormat="false" ht="12.8" hidden="false" customHeight="false" outlineLevel="0" collapsed="false">
      <c r="A28" s="12" t="s">
        <v>66</v>
      </c>
      <c r="C28" s="0" t="s">
        <v>67</v>
      </c>
    </row>
    <row r="29" customFormat="false" ht="12.8" hidden="false" customHeight="false" outlineLevel="0" collapsed="false">
      <c r="A29" s="12" t="s">
        <v>3</v>
      </c>
      <c r="C29" s="0" t="s">
        <v>69</v>
      </c>
    </row>
    <row r="30" customFormat="false" ht="12.8" hidden="false" customHeight="false" outlineLevel="0" collapsed="false">
      <c r="A30" s="12" t="s">
        <v>4</v>
      </c>
      <c r="C30" s="0" t="s">
        <v>72</v>
      </c>
    </row>
    <row r="31" customFormat="false" ht="12.8" hidden="false" customHeight="false" outlineLevel="0" collapsed="false">
      <c r="A31" s="12" t="s">
        <v>73</v>
      </c>
      <c r="C31" s="0" t="s">
        <v>74</v>
      </c>
    </row>
    <row r="32" customFormat="false" ht="12.8" hidden="false" customHeight="false" outlineLevel="0" collapsed="false">
      <c r="A32" s="12" t="s">
        <v>75</v>
      </c>
      <c r="C32" s="0" t="s">
        <v>76</v>
      </c>
    </row>
    <row r="33" customFormat="false" ht="12.8" hidden="false" customHeight="false" outlineLevel="0" collapsed="false">
      <c r="A33" s="12" t="s">
        <v>77</v>
      </c>
      <c r="C33" s="0" t="s">
        <v>78</v>
      </c>
    </row>
    <row r="34" customFormat="false" ht="12.8" hidden="false" customHeight="false" outlineLevel="0" collapsed="false">
      <c r="A34" s="12" t="s">
        <v>79</v>
      </c>
      <c r="C34" s="0" t="s">
        <v>80</v>
      </c>
    </row>
    <row r="35" customFormat="false" ht="12.8" hidden="false" customHeight="false" outlineLevel="0" collapsed="false">
      <c r="A35" s="12" t="s">
        <v>9</v>
      </c>
      <c r="C35" s="0" t="s">
        <v>81</v>
      </c>
    </row>
    <row r="36" customFormat="false" ht="12.8" hidden="false" customHeight="false" outlineLevel="0" collapsed="false">
      <c r="A36" s="12" t="s">
        <v>10</v>
      </c>
      <c r="C36" s="0" t="s">
        <v>82</v>
      </c>
    </row>
    <row r="37" customFormat="false" ht="12.8" hidden="false" customHeight="false" outlineLevel="0" collapsed="false">
      <c r="A37" s="12" t="s">
        <v>11</v>
      </c>
      <c r="C37" s="0" t="s">
        <v>83</v>
      </c>
    </row>
    <row r="38" customFormat="false" ht="12.8" hidden="false" customHeight="false" outlineLevel="0" collapsed="false">
      <c r="A38" s="12" t="s">
        <v>12</v>
      </c>
      <c r="C38" s="0" t="s">
        <v>84</v>
      </c>
    </row>
    <row r="39" customFormat="false" ht="12.8" hidden="false" customHeight="false" outlineLevel="0" collapsed="false">
      <c r="A39" s="12" t="s">
        <v>13</v>
      </c>
      <c r="C39" s="0" t="s">
        <v>85</v>
      </c>
    </row>
    <row r="40" customFormat="false" ht="12.8" hidden="false" customHeight="false" outlineLevel="0" collapsed="false">
      <c r="A40" s="12" t="s">
        <v>14</v>
      </c>
      <c r="C40" s="0" t="s">
        <v>86</v>
      </c>
    </row>
    <row r="41" customFormat="false" ht="12.8" hidden="false" customHeight="false" outlineLevel="0" collapsed="false">
      <c r="A41" s="12" t="s">
        <v>15</v>
      </c>
      <c r="C41" s="0" t="s">
        <v>87</v>
      </c>
    </row>
    <row r="42" customFormat="false" ht="12.8" hidden="false" customHeight="false" outlineLevel="0" collapsed="false">
      <c r="A42" s="12" t="s">
        <v>16</v>
      </c>
      <c r="C42" s="0" t="s">
        <v>88</v>
      </c>
    </row>
    <row r="43" customFormat="false" ht="12.8" hidden="false" customHeight="false" outlineLevel="0" collapsed="false">
      <c r="A43" s="12" t="s">
        <v>89</v>
      </c>
      <c r="C43" s="0" t="s">
        <v>90</v>
      </c>
    </row>
    <row r="44" customFormat="false" ht="12.8" hidden="false" customHeight="false" outlineLevel="0" collapsed="false">
      <c r="A44" s="12" t="s">
        <v>91</v>
      </c>
      <c r="C44" s="0" t="s">
        <v>92</v>
      </c>
    </row>
  </sheetData>
  <mergeCells count="3">
    <mergeCell ref="A2:A19"/>
    <mergeCell ref="B2:B7"/>
    <mergeCell ref="B8:B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38"/>
  <sheetViews>
    <sheetView showFormulas="false" showGridLines="true" showRowColHeaders="true" showZeros="true" rightToLeft="false" tabSelected="false" showOutlineSymbols="true" defaultGridColor="true" view="normal" topLeftCell="A1" colorId="64" zoomScale="131" zoomScaleNormal="13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3.66"/>
    <col collapsed="false" customWidth="true" hidden="false" outlineLevel="0" max="5" min="5" style="0" width="4.13"/>
    <col collapsed="false" customWidth="true" hidden="false" outlineLevel="0" max="6" min="6" style="0" width="5.3"/>
    <col collapsed="false" customWidth="true" hidden="false" outlineLevel="0" max="7" min="7" style="0" width="4.13"/>
    <col collapsed="false" customWidth="true" hidden="false" outlineLevel="0" max="8" min="8" style="0" width="4.35"/>
    <col collapsed="false" customWidth="true" hidden="false" outlineLevel="0" max="9" min="9" style="0" width="4.66"/>
    <col collapsed="false" customWidth="true" hidden="false" outlineLevel="0" max="10" min="10" style="0" width="4.02"/>
    <col collapsed="false" customWidth="true" hidden="false" outlineLevel="0" max="11" min="11" style="0" width="3.29"/>
    <col collapsed="false" customWidth="true" hidden="false" outlineLevel="0" max="12" min="12" style="0" width="3.18"/>
    <col collapsed="false" customWidth="true" hidden="false" outlineLevel="0" max="13" min="13" style="0" width="4.35"/>
    <col collapsed="false" customWidth="true" hidden="false" outlineLevel="0" max="14" min="14" style="0" width="6.36"/>
    <col collapsed="false" customWidth="true" hidden="false" outlineLevel="0" max="15" min="15" style="0" width="10.56"/>
    <col collapsed="false" customWidth="true" hidden="false" outlineLevel="0" max="16" min="16" style="0" width="10.66"/>
    <col collapsed="false" customWidth="true" hidden="false" outlineLevel="0" max="17" min="17" style="0" width="10.56"/>
  </cols>
  <sheetData>
    <row r="1" customFormat="false" ht="12.8" hidden="false" customHeight="false" outlineLevel="0" collapsed="false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12.8" hidden="false" customHeight="true" outlineLevel="0" collapsed="false">
      <c r="A2" s="2" t="s">
        <v>131</v>
      </c>
      <c r="B2" s="3" t="s">
        <v>19</v>
      </c>
      <c r="C2" s="4" t="s">
        <v>20</v>
      </c>
      <c r="D2" s="0" t="n">
        <v>17</v>
      </c>
      <c r="E2" s="0" t="n">
        <v>5</v>
      </c>
      <c r="F2" s="0" t="n">
        <v>6</v>
      </c>
      <c r="G2" s="0" t="n">
        <v>1.45</v>
      </c>
      <c r="H2" s="0" t="n">
        <v>2</v>
      </c>
      <c r="I2" s="0" t="n">
        <v>8</v>
      </c>
      <c r="J2" s="0" t="n">
        <v>6</v>
      </c>
      <c r="K2" s="0" t="n">
        <v>5</v>
      </c>
      <c r="L2" s="0" t="n">
        <v>4</v>
      </c>
      <c r="M2" s="0" t="n">
        <v>14</v>
      </c>
      <c r="N2" s="0" t="n">
        <v>9</v>
      </c>
      <c r="O2" s="0" t="n">
        <v>44.38</v>
      </c>
      <c r="P2" s="0" t="n">
        <v>3.75</v>
      </c>
      <c r="Q2" s="0" t="n">
        <v>166.42</v>
      </c>
      <c r="R2" s="0" t="s">
        <v>132</v>
      </c>
      <c r="S2" s="4"/>
      <c r="T2" s="13"/>
      <c r="U2" s="13"/>
    </row>
    <row r="3" customFormat="false" ht="12.8" hidden="false" customHeight="false" outlineLevel="0" collapsed="false">
      <c r="A3" s="2" t="s">
        <v>131</v>
      </c>
      <c r="B3" s="3"/>
      <c r="C3" s="4" t="s">
        <v>23</v>
      </c>
      <c r="D3" s="0" t="n">
        <v>10</v>
      </c>
      <c r="E3" s="0" t="n">
        <v>4</v>
      </c>
      <c r="F3" s="0" t="n">
        <v>3</v>
      </c>
      <c r="G3" s="0" t="n">
        <v>1.29</v>
      </c>
      <c r="H3" s="0" t="n">
        <v>2</v>
      </c>
      <c r="I3" s="0" t="n">
        <v>4</v>
      </c>
      <c r="J3" s="0" t="n">
        <v>3</v>
      </c>
      <c r="K3" s="0" t="n">
        <v>3</v>
      </c>
      <c r="L3" s="0" t="n">
        <v>3</v>
      </c>
      <c r="M3" s="0" t="n">
        <v>7</v>
      </c>
      <c r="N3" s="0" t="n">
        <v>6</v>
      </c>
      <c r="O3" s="0" t="n">
        <v>18.09</v>
      </c>
      <c r="P3" s="0" t="n">
        <v>1.5</v>
      </c>
      <c r="Q3" s="0" t="n">
        <v>27.14</v>
      </c>
      <c r="R3" s="0" t="s">
        <v>133</v>
      </c>
      <c r="S3" s="4"/>
      <c r="T3" s="13"/>
      <c r="U3" s="13"/>
    </row>
    <row r="4" customFormat="false" ht="12.8" hidden="false" customHeight="false" outlineLevel="0" collapsed="false">
      <c r="A4" s="2"/>
      <c r="B4" s="3"/>
      <c r="C4" s="9" t="s">
        <v>27</v>
      </c>
      <c r="D4" s="9" t="n">
        <f aca="false">AVERAGE(D2:D3)</f>
        <v>13.5</v>
      </c>
      <c r="E4" s="9" t="n">
        <f aca="false">AVERAGE(E2:E3)</f>
        <v>4.5</v>
      </c>
      <c r="F4" s="9" t="n">
        <f aca="false">AVERAGE(F2:F3)</f>
        <v>4.5</v>
      </c>
      <c r="G4" s="9" t="n">
        <f aca="false">AVERAGE(G2:G3)</f>
        <v>1.37</v>
      </c>
      <c r="H4" s="9" t="n">
        <f aca="false">AVERAGE(H2:H3)</f>
        <v>2</v>
      </c>
      <c r="I4" s="9" t="n">
        <f aca="false">AVERAGE(I2:I3)</f>
        <v>6</v>
      </c>
      <c r="J4" s="9" t="n">
        <f aca="false">AVERAGE(J2:J3)</f>
        <v>4.5</v>
      </c>
      <c r="K4" s="9" t="n">
        <f aca="false">AVERAGE(K2:K3)</f>
        <v>4</v>
      </c>
      <c r="L4" s="9" t="n">
        <f aca="false">AVERAGE(L2:L3)</f>
        <v>3.5</v>
      </c>
      <c r="M4" s="9" t="n">
        <f aca="false">AVERAGE(M2:M3)</f>
        <v>10.5</v>
      </c>
      <c r="N4" s="9" t="n">
        <f aca="false">AVERAGE(N2:N3)</f>
        <v>7.5</v>
      </c>
      <c r="O4" s="9" t="n">
        <f aca="false">AVERAGE(O2:O3)</f>
        <v>31.235</v>
      </c>
      <c r="P4" s="9" t="n">
        <f aca="false">AVERAGE(P2:P3)</f>
        <v>2.625</v>
      </c>
      <c r="Q4" s="9" t="n">
        <f aca="false">AVERAGE(Q2:Q3)</f>
        <v>96.78</v>
      </c>
      <c r="R4" s="10"/>
      <c r="S4" s="15"/>
      <c r="T4" s="16"/>
      <c r="U4" s="16"/>
    </row>
    <row r="5" customFormat="false" ht="12.8" hidden="false" customHeight="false" outlineLevel="0" collapsed="false">
      <c r="A5" s="2" t="s">
        <v>131</v>
      </c>
      <c r="B5" s="2" t="s">
        <v>28</v>
      </c>
      <c r="C5" s="0" t="s">
        <v>25</v>
      </c>
      <c r="D5" s="0" t="n">
        <v>11</v>
      </c>
      <c r="E5" s="0" t="n">
        <v>4</v>
      </c>
      <c r="F5" s="0" t="n">
        <v>4</v>
      </c>
      <c r="G5" s="0" t="n">
        <v>1.43</v>
      </c>
      <c r="H5" s="0" t="n">
        <v>2</v>
      </c>
      <c r="I5" s="0" t="n">
        <v>4</v>
      </c>
      <c r="J5" s="0" t="n">
        <v>4</v>
      </c>
      <c r="K5" s="0" t="n">
        <v>3</v>
      </c>
      <c r="L5" s="0" t="n">
        <v>4</v>
      </c>
      <c r="M5" s="0" t="n">
        <v>8</v>
      </c>
      <c r="N5" s="0" t="n">
        <v>7</v>
      </c>
      <c r="O5" s="0" t="n">
        <v>22.46</v>
      </c>
      <c r="P5" s="0" t="n">
        <v>1.5</v>
      </c>
      <c r="Q5" s="0" t="n">
        <v>33.69</v>
      </c>
      <c r="R5" s="0" t="s">
        <v>134</v>
      </c>
      <c r="S5" s="4"/>
      <c r="U5" s="13"/>
    </row>
    <row r="6" customFormat="false" ht="12.8" hidden="false" customHeight="false" outlineLevel="0" collapsed="false">
      <c r="A6" s="2" t="s">
        <v>131</v>
      </c>
      <c r="B6" s="2"/>
      <c r="C6" s="0" t="s">
        <v>29</v>
      </c>
      <c r="D6" s="0" t="n">
        <v>11</v>
      </c>
      <c r="E6" s="0" t="n">
        <v>4</v>
      </c>
      <c r="F6" s="0" t="n">
        <v>4</v>
      </c>
      <c r="G6" s="0" t="n">
        <v>1.43</v>
      </c>
      <c r="H6" s="0" t="n">
        <v>2</v>
      </c>
      <c r="I6" s="0" t="n">
        <v>4</v>
      </c>
      <c r="J6" s="0" t="n">
        <v>4</v>
      </c>
      <c r="K6" s="0" t="n">
        <v>3</v>
      </c>
      <c r="L6" s="0" t="n">
        <v>4</v>
      </c>
      <c r="M6" s="0" t="n">
        <v>8</v>
      </c>
      <c r="N6" s="0" t="n">
        <v>7</v>
      </c>
      <c r="O6" s="0" t="n">
        <v>22.46</v>
      </c>
      <c r="P6" s="0" t="n">
        <v>1.5</v>
      </c>
      <c r="Q6" s="0" t="n">
        <v>33.69</v>
      </c>
      <c r="R6" s="0" t="s">
        <v>135</v>
      </c>
      <c r="S6" s="4"/>
      <c r="U6" s="13"/>
    </row>
    <row r="7" customFormat="false" ht="12.8" hidden="false" customHeight="false" outlineLevel="0" collapsed="false">
      <c r="A7" s="2" t="s">
        <v>131</v>
      </c>
      <c r="B7" s="2"/>
      <c r="C7" s="0" t="s">
        <v>32</v>
      </c>
      <c r="D7" s="0" t="n">
        <v>11</v>
      </c>
      <c r="E7" s="0" t="n">
        <v>4</v>
      </c>
      <c r="F7" s="0" t="n">
        <v>4</v>
      </c>
      <c r="G7" s="0" t="n">
        <v>1.43</v>
      </c>
      <c r="H7" s="0" t="n">
        <v>2</v>
      </c>
      <c r="I7" s="0" t="n">
        <v>4</v>
      </c>
      <c r="J7" s="0" t="n">
        <v>4</v>
      </c>
      <c r="K7" s="0" t="n">
        <v>3</v>
      </c>
      <c r="L7" s="0" t="n">
        <v>4</v>
      </c>
      <c r="M7" s="0" t="n">
        <v>8</v>
      </c>
      <c r="N7" s="0" t="n">
        <v>7</v>
      </c>
      <c r="O7" s="0" t="n">
        <v>22.46</v>
      </c>
      <c r="P7" s="0" t="n">
        <v>1.5</v>
      </c>
      <c r="Q7" s="0" t="n">
        <v>33.69</v>
      </c>
      <c r="R7" s="0" t="s">
        <v>134</v>
      </c>
      <c r="S7" s="4"/>
      <c r="U7" s="13"/>
    </row>
    <row r="8" customFormat="false" ht="12.8" hidden="false" customHeight="false" outlineLevel="0" collapsed="false">
      <c r="A8" s="2" t="s">
        <v>131</v>
      </c>
      <c r="B8" s="2"/>
      <c r="C8" s="8" t="s">
        <v>46</v>
      </c>
      <c r="D8" s="8" t="n">
        <v>11</v>
      </c>
      <c r="E8" s="8" t="n">
        <v>4</v>
      </c>
      <c r="F8" s="8" t="n">
        <v>4</v>
      </c>
      <c r="G8" s="8" t="n">
        <v>1.43</v>
      </c>
      <c r="H8" s="8" t="n">
        <v>2</v>
      </c>
      <c r="I8" s="8" t="n">
        <v>4</v>
      </c>
      <c r="J8" s="8" t="n">
        <v>4</v>
      </c>
      <c r="K8" s="8" t="n">
        <v>4</v>
      </c>
      <c r="L8" s="8" t="n">
        <v>4</v>
      </c>
      <c r="M8" s="8" t="n">
        <v>8</v>
      </c>
      <c r="N8" s="8" t="n">
        <v>8</v>
      </c>
      <c r="O8" s="8" t="n">
        <v>24</v>
      </c>
      <c r="P8" s="8" t="n">
        <v>2</v>
      </c>
      <c r="Q8" s="8" t="n">
        <v>48</v>
      </c>
      <c r="R8" s="8" t="s">
        <v>136</v>
      </c>
      <c r="S8" s="17"/>
      <c r="T8" s="8"/>
      <c r="U8" s="18"/>
    </row>
    <row r="9" customFormat="false" ht="12.8" hidden="false" customHeight="false" outlineLevel="0" collapsed="false">
      <c r="A9" s="2"/>
      <c r="B9" s="2"/>
      <c r="C9" s="9" t="s">
        <v>27</v>
      </c>
      <c r="D9" s="9" t="n">
        <f aca="false">AVERAGE(D5:D8)</f>
        <v>11</v>
      </c>
      <c r="E9" s="9" t="n">
        <f aca="false">AVERAGE(E5:E8)</f>
        <v>4</v>
      </c>
      <c r="F9" s="9" t="n">
        <f aca="false">AVERAGE(F5:F8)</f>
        <v>4</v>
      </c>
      <c r="G9" s="9" t="n">
        <f aca="false">AVERAGE(G5:G8)</f>
        <v>1.43</v>
      </c>
      <c r="H9" s="9" t="n">
        <f aca="false">AVERAGE(H5:H8)</f>
        <v>2</v>
      </c>
      <c r="I9" s="9" t="n">
        <f aca="false">AVERAGE(I5:I8)</f>
        <v>4</v>
      </c>
      <c r="J9" s="9" t="n">
        <f aca="false">AVERAGE(J5:J8)</f>
        <v>4</v>
      </c>
      <c r="K9" s="9" t="n">
        <f aca="false">AVERAGE(K5:K8)</f>
        <v>3.25</v>
      </c>
      <c r="L9" s="9" t="n">
        <f aca="false">AVERAGE(L5:L8)</f>
        <v>4</v>
      </c>
      <c r="M9" s="9" t="n">
        <f aca="false">AVERAGE(M5:M8)</f>
        <v>8</v>
      </c>
      <c r="N9" s="9" t="n">
        <f aca="false">AVERAGE(N5:N8)</f>
        <v>7.25</v>
      </c>
      <c r="O9" s="9" t="n">
        <f aca="false">AVERAGE(O5:O8)</f>
        <v>22.845</v>
      </c>
      <c r="P9" s="9" t="n">
        <f aca="false">AVERAGE(P5:P8)</f>
        <v>1.625</v>
      </c>
      <c r="Q9" s="9" t="n">
        <f aca="false">AVERAGE(Q5:Q8)</f>
        <v>37.2675</v>
      </c>
      <c r="R9" s="10"/>
      <c r="S9" s="15"/>
      <c r="T9" s="10"/>
      <c r="U9" s="16"/>
    </row>
    <row r="12" customFormat="false" ht="12.8" hidden="false" customHeight="false" outlineLevel="0" collapsed="false">
      <c r="A12" s="4" t="s">
        <v>137</v>
      </c>
    </row>
    <row r="13" customFormat="false" ht="12.8" hidden="false" customHeight="false" outlineLevel="0" collapsed="false">
      <c r="A13" s="0" t="s">
        <v>138</v>
      </c>
    </row>
    <row r="19" customFormat="false" ht="12.8" hidden="false" customHeight="false" outlineLevel="0" collapsed="false">
      <c r="A19" s="4" t="s">
        <v>59</v>
      </c>
    </row>
    <row r="20" customFormat="false" ht="12.8" hidden="false" customHeight="false" outlineLevel="0" collapsed="false">
      <c r="A20" s="12" t="s">
        <v>0</v>
      </c>
      <c r="C20" s="0" t="s">
        <v>61</v>
      </c>
    </row>
    <row r="21" customFormat="false" ht="12.8" hidden="false" customHeight="false" outlineLevel="0" collapsed="false">
      <c r="A21" s="12" t="s">
        <v>1</v>
      </c>
      <c r="C21" s="0" t="s">
        <v>64</v>
      </c>
    </row>
    <row r="22" customFormat="false" ht="12.8" hidden="false" customHeight="false" outlineLevel="0" collapsed="false">
      <c r="A22" s="12" t="s">
        <v>66</v>
      </c>
      <c r="C22" s="0" t="s">
        <v>67</v>
      </c>
    </row>
    <row r="23" customFormat="false" ht="12.8" hidden="false" customHeight="false" outlineLevel="0" collapsed="false">
      <c r="A23" s="12" t="s">
        <v>3</v>
      </c>
      <c r="C23" s="0" t="s">
        <v>69</v>
      </c>
    </row>
    <row r="24" customFormat="false" ht="12.8" hidden="false" customHeight="false" outlineLevel="0" collapsed="false">
      <c r="A24" s="12" t="s">
        <v>4</v>
      </c>
      <c r="C24" s="0" t="s">
        <v>72</v>
      </c>
    </row>
    <row r="25" customFormat="false" ht="12.8" hidden="false" customHeight="false" outlineLevel="0" collapsed="false">
      <c r="A25" s="12" t="s">
        <v>73</v>
      </c>
      <c r="C25" s="0" t="s">
        <v>74</v>
      </c>
    </row>
    <row r="26" customFormat="false" ht="12.8" hidden="false" customHeight="false" outlineLevel="0" collapsed="false">
      <c r="A26" s="12" t="s">
        <v>75</v>
      </c>
      <c r="C26" s="0" t="s">
        <v>76</v>
      </c>
    </row>
    <row r="27" customFormat="false" ht="12.8" hidden="false" customHeight="false" outlineLevel="0" collapsed="false">
      <c r="A27" s="12" t="s">
        <v>77</v>
      </c>
      <c r="C27" s="0" t="s">
        <v>78</v>
      </c>
    </row>
    <row r="28" customFormat="false" ht="12.8" hidden="false" customHeight="false" outlineLevel="0" collapsed="false">
      <c r="A28" s="12" t="s">
        <v>79</v>
      </c>
      <c r="C28" s="0" t="s">
        <v>80</v>
      </c>
    </row>
    <row r="29" customFormat="false" ht="12.8" hidden="false" customHeight="false" outlineLevel="0" collapsed="false">
      <c r="A29" s="12" t="s">
        <v>9</v>
      </c>
      <c r="C29" s="0" t="s">
        <v>81</v>
      </c>
    </row>
    <row r="30" customFormat="false" ht="12.8" hidden="false" customHeight="false" outlineLevel="0" collapsed="false">
      <c r="A30" s="12" t="s">
        <v>10</v>
      </c>
      <c r="C30" s="0" t="s">
        <v>82</v>
      </c>
    </row>
    <row r="31" customFormat="false" ht="12.8" hidden="false" customHeight="false" outlineLevel="0" collapsed="false">
      <c r="A31" s="12" t="s">
        <v>11</v>
      </c>
      <c r="C31" s="0" t="s">
        <v>83</v>
      </c>
    </row>
    <row r="32" customFormat="false" ht="12.8" hidden="false" customHeight="false" outlineLevel="0" collapsed="false">
      <c r="A32" s="12" t="s">
        <v>12</v>
      </c>
      <c r="C32" s="0" t="s">
        <v>84</v>
      </c>
    </row>
    <row r="33" customFormat="false" ht="12.8" hidden="false" customHeight="false" outlineLevel="0" collapsed="false">
      <c r="A33" s="12" t="s">
        <v>13</v>
      </c>
      <c r="C33" s="0" t="s">
        <v>85</v>
      </c>
    </row>
    <row r="34" customFormat="false" ht="12.8" hidden="false" customHeight="false" outlineLevel="0" collapsed="false">
      <c r="A34" s="12" t="s">
        <v>14</v>
      </c>
      <c r="C34" s="0" t="s">
        <v>86</v>
      </c>
    </row>
    <row r="35" customFormat="false" ht="12.8" hidden="false" customHeight="false" outlineLevel="0" collapsed="false">
      <c r="A35" s="12" t="s">
        <v>15</v>
      </c>
      <c r="C35" s="0" t="s">
        <v>87</v>
      </c>
    </row>
    <row r="36" customFormat="false" ht="12.8" hidden="false" customHeight="false" outlineLevel="0" collapsed="false">
      <c r="A36" s="12" t="s">
        <v>16</v>
      </c>
      <c r="C36" s="0" t="s">
        <v>88</v>
      </c>
    </row>
    <row r="37" customFormat="false" ht="12.8" hidden="false" customHeight="false" outlineLevel="0" collapsed="false">
      <c r="A37" s="12" t="s">
        <v>89</v>
      </c>
      <c r="C37" s="0" t="s">
        <v>90</v>
      </c>
    </row>
    <row r="38" customFormat="false" ht="12.8" hidden="false" customHeight="false" outlineLevel="0" collapsed="false">
      <c r="A38" s="12" t="s">
        <v>91</v>
      </c>
      <c r="C38" s="0" t="s">
        <v>92</v>
      </c>
    </row>
  </sheetData>
  <mergeCells count="3">
    <mergeCell ref="A2:A9"/>
    <mergeCell ref="B2:B4"/>
    <mergeCell ref="B5:B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31" zoomScaleNormal="131" zoomScalePageLayoutView="100" workbookViewId="0">
      <selection pane="topLeft" activeCell="A31" activeCellId="0" sqref="A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91"/>
    <col collapsed="false" customWidth="true" hidden="false" outlineLevel="0" max="4" min="4" style="0" width="3.66"/>
    <col collapsed="false" customWidth="true" hidden="false" outlineLevel="0" max="5" min="5" style="0" width="6.42"/>
    <col collapsed="false" customWidth="true" hidden="false" outlineLevel="0" max="6" min="6" style="0" width="7.27"/>
    <col collapsed="false" customWidth="true" hidden="false" outlineLevel="0" max="7" min="7" style="0" width="4.83"/>
    <col collapsed="false" customWidth="true" hidden="false" outlineLevel="0" max="8" min="8" style="0" width="3.98"/>
    <col collapsed="false" customWidth="true" hidden="false" outlineLevel="0" max="10" min="9" style="0" width="3.66"/>
    <col collapsed="false" customWidth="true" hidden="false" outlineLevel="0" max="11" min="11" style="0" width="3.71"/>
    <col collapsed="false" customWidth="true" hidden="false" outlineLevel="0" max="12" min="12" style="0" width="3.92"/>
    <col collapsed="false" customWidth="true" hidden="false" outlineLevel="0" max="13" min="13" style="0" width="5.19"/>
    <col collapsed="false" customWidth="true" hidden="false" outlineLevel="0" max="14" min="14" style="0" width="4.13"/>
    <col collapsed="false" customWidth="true" hidden="false" outlineLevel="0" max="15" min="15" style="0" width="4.97"/>
    <col collapsed="false" customWidth="true" hidden="false" outlineLevel="0" max="16" min="16" style="0" width="5.51"/>
    <col collapsed="false" customWidth="true" hidden="false" outlineLevel="0" max="18" min="18" style="0" width="49.91"/>
  </cols>
  <sheetData>
    <row r="1" customFormat="false" ht="12.8" hidden="false" customHeight="false" outlineLevel="0" collapsed="false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12.8" hidden="false" customHeight="true" outlineLevel="0" collapsed="false">
      <c r="A2" s="2" t="s">
        <v>139</v>
      </c>
      <c r="B2" s="19" t="s">
        <v>19</v>
      </c>
      <c r="C2" s="4" t="s">
        <v>94</v>
      </c>
      <c r="D2" s="0" t="n">
        <v>15</v>
      </c>
      <c r="E2" s="0" t="n">
        <v>4</v>
      </c>
      <c r="F2" s="0" t="n">
        <v>6</v>
      </c>
      <c r="G2" s="0" t="n">
        <v>1.56</v>
      </c>
      <c r="H2" s="0" t="n">
        <v>1</v>
      </c>
      <c r="I2" s="0" t="n">
        <v>6</v>
      </c>
      <c r="J2" s="0" t="n">
        <v>6</v>
      </c>
      <c r="K2" s="0" t="n">
        <v>4</v>
      </c>
      <c r="L2" s="0" t="n">
        <v>6</v>
      </c>
      <c r="M2" s="0" t="n">
        <v>12</v>
      </c>
      <c r="N2" s="0" t="n">
        <v>10</v>
      </c>
      <c r="O2" s="0" t="n">
        <v>39.86</v>
      </c>
      <c r="P2" s="0" t="n">
        <v>2</v>
      </c>
      <c r="Q2" s="0" t="n">
        <v>79.73</v>
      </c>
      <c r="R2" s="0" t="s">
        <v>140</v>
      </c>
    </row>
    <row r="3" customFormat="false" ht="12.8" hidden="false" customHeight="false" outlineLevel="0" collapsed="false">
      <c r="A3" s="2" t="s">
        <v>139</v>
      </c>
      <c r="B3" s="19"/>
      <c r="C3" s="4" t="s">
        <v>96</v>
      </c>
      <c r="D3" s="0" t="n">
        <v>18</v>
      </c>
      <c r="E3" s="0" t="n">
        <v>4</v>
      </c>
      <c r="F3" s="0" t="n">
        <v>8</v>
      </c>
      <c r="G3" s="0" t="n">
        <v>1.7</v>
      </c>
      <c r="H3" s="0" t="n">
        <v>1</v>
      </c>
      <c r="I3" s="0" t="n">
        <v>7</v>
      </c>
      <c r="J3" s="0" t="n">
        <v>8</v>
      </c>
      <c r="K3" s="0" t="n">
        <v>4</v>
      </c>
      <c r="L3" s="0" t="n">
        <v>8</v>
      </c>
      <c r="M3" s="0" t="n">
        <v>15</v>
      </c>
      <c r="N3" s="0" t="n">
        <v>12</v>
      </c>
      <c r="O3" s="0" t="n">
        <v>53.77</v>
      </c>
      <c r="P3" s="0" t="n">
        <v>2</v>
      </c>
      <c r="Q3" s="0" t="n">
        <v>107.55</v>
      </c>
      <c r="R3" s="0" t="s">
        <v>141</v>
      </c>
    </row>
    <row r="4" customFormat="false" ht="12.8" hidden="false" customHeight="false" outlineLevel="0" collapsed="false">
      <c r="A4" s="2"/>
      <c r="B4" s="19"/>
      <c r="C4" s="9" t="s">
        <v>27</v>
      </c>
      <c r="D4" s="9" t="n">
        <f aca="false">AVERAGE(D2:D3)</f>
        <v>16.5</v>
      </c>
      <c r="E4" s="9" t="n">
        <f aca="false">AVERAGE(E2:E3)</f>
        <v>4</v>
      </c>
      <c r="F4" s="9" t="n">
        <f aca="false">AVERAGE(F2:F3)</f>
        <v>7</v>
      </c>
      <c r="G4" s="9" t="n">
        <f aca="false">AVERAGE(G2:G3)</f>
        <v>1.63</v>
      </c>
      <c r="H4" s="9" t="n">
        <f aca="false">AVERAGE(H2:H3)</f>
        <v>1</v>
      </c>
      <c r="I4" s="9" t="n">
        <f aca="false">AVERAGE(I2:I3)</f>
        <v>6.5</v>
      </c>
      <c r="J4" s="9" t="n">
        <f aca="false">AVERAGE(J2:J3)</f>
        <v>7</v>
      </c>
      <c r="K4" s="9" t="n">
        <f aca="false">AVERAGE(K2:K3)</f>
        <v>4</v>
      </c>
      <c r="L4" s="9" t="n">
        <f aca="false">AVERAGE(L2:L3)</f>
        <v>7</v>
      </c>
      <c r="M4" s="9" t="n">
        <f aca="false">AVERAGE(M2:M3)</f>
        <v>13.5</v>
      </c>
      <c r="N4" s="9" t="n">
        <f aca="false">AVERAGE(N2:N3)</f>
        <v>11</v>
      </c>
      <c r="O4" s="9" t="n">
        <f aca="false">AVERAGE(O2:O3)</f>
        <v>46.815</v>
      </c>
      <c r="P4" s="9" t="n">
        <f aca="false">AVERAGE(P2:P3)</f>
        <v>2</v>
      </c>
      <c r="Q4" s="9" t="n">
        <f aca="false">AVERAGE(Q2:Q3)</f>
        <v>93.64</v>
      </c>
    </row>
    <row r="5" customFormat="false" ht="12.8" hidden="false" customHeight="false" outlineLevel="0" collapsed="false">
      <c r="A5" s="2" t="s">
        <v>139</v>
      </c>
      <c r="B5" s="2" t="s">
        <v>28</v>
      </c>
      <c r="C5" s="0" t="s">
        <v>110</v>
      </c>
      <c r="D5" s="0" t="n">
        <v>12</v>
      </c>
      <c r="E5" s="0" t="n">
        <v>4</v>
      </c>
      <c r="F5" s="0" t="n">
        <v>5</v>
      </c>
      <c r="G5" s="0" t="n">
        <v>1.57</v>
      </c>
      <c r="H5" s="0" t="n">
        <v>1</v>
      </c>
      <c r="I5" s="0" t="n">
        <v>4</v>
      </c>
      <c r="J5" s="0" t="n">
        <v>5</v>
      </c>
      <c r="K5" s="0" t="n">
        <v>4</v>
      </c>
      <c r="L5" s="0" t="n">
        <v>4</v>
      </c>
      <c r="M5" s="0" t="n">
        <v>9</v>
      </c>
      <c r="N5" s="0" t="n">
        <v>8</v>
      </c>
      <c r="O5" s="0" t="n">
        <v>27</v>
      </c>
      <c r="P5" s="0" t="n">
        <v>2.5</v>
      </c>
      <c r="Q5" s="0" t="n">
        <v>67.5</v>
      </c>
      <c r="R5" s="0" t="s">
        <v>142</v>
      </c>
    </row>
    <row r="6" customFormat="false" ht="12.8" hidden="false" customHeight="false" outlineLevel="0" collapsed="false">
      <c r="A6" s="2" t="s">
        <v>139</v>
      </c>
      <c r="B6" s="2"/>
      <c r="C6" s="8" t="s">
        <v>143</v>
      </c>
      <c r="D6" s="8" t="n">
        <v>12</v>
      </c>
      <c r="E6" s="8" t="n">
        <v>4</v>
      </c>
      <c r="F6" s="8" t="n">
        <v>5</v>
      </c>
      <c r="G6" s="8" t="n">
        <v>1.57</v>
      </c>
      <c r="H6" s="8" t="n">
        <v>1</v>
      </c>
      <c r="I6" s="8" t="n">
        <v>4</v>
      </c>
      <c r="J6" s="8" t="n">
        <v>5</v>
      </c>
      <c r="K6" s="8" t="n">
        <v>4</v>
      </c>
      <c r="L6" s="8" t="n">
        <v>4</v>
      </c>
      <c r="M6" s="8" t="n">
        <v>9</v>
      </c>
      <c r="N6" s="8" t="n">
        <v>8</v>
      </c>
      <c r="O6" s="8" t="n">
        <v>27</v>
      </c>
      <c r="P6" s="8" t="n">
        <v>2.5</v>
      </c>
      <c r="Q6" s="8" t="n">
        <v>67.5</v>
      </c>
      <c r="R6" s="0" t="s">
        <v>144</v>
      </c>
    </row>
    <row r="7" customFormat="false" ht="12.8" hidden="false" customHeight="false" outlineLevel="0" collapsed="false">
      <c r="A7" s="2"/>
      <c r="B7" s="2"/>
      <c r="C7" s="9" t="s">
        <v>27</v>
      </c>
      <c r="D7" s="9" t="n">
        <f aca="false">AVERAGE(D5:D6)</f>
        <v>12</v>
      </c>
      <c r="E7" s="9" t="n">
        <f aca="false">AVERAGE(E5:E6)</f>
        <v>4</v>
      </c>
      <c r="F7" s="9" t="n">
        <f aca="false">AVERAGE(F5:F6)</f>
        <v>5</v>
      </c>
      <c r="G7" s="9" t="n">
        <f aca="false">AVERAGE(G5:G6)</f>
        <v>1.57</v>
      </c>
      <c r="H7" s="9" t="n">
        <f aca="false">AVERAGE(H5:H6)</f>
        <v>1</v>
      </c>
      <c r="I7" s="9" t="n">
        <f aca="false">AVERAGE(I5:I6)</f>
        <v>4</v>
      </c>
      <c r="J7" s="9" t="n">
        <f aca="false">AVERAGE(J5:J6)</f>
        <v>5</v>
      </c>
      <c r="K7" s="9" t="n">
        <f aca="false">AVERAGE(K5:K6)</f>
        <v>4</v>
      </c>
      <c r="L7" s="9" t="n">
        <f aca="false">AVERAGE(L5:L6)</f>
        <v>4</v>
      </c>
      <c r="M7" s="9" t="n">
        <f aca="false">AVERAGE(M5:M6)</f>
        <v>9</v>
      </c>
      <c r="N7" s="9" t="n">
        <f aca="false">AVERAGE(N5:N6)</f>
        <v>8</v>
      </c>
      <c r="O7" s="9" t="n">
        <f aca="false">AVERAGE(O5:O6)</f>
        <v>27</v>
      </c>
      <c r="P7" s="9" t="n">
        <f aca="false">AVERAGE(P5:P6)</f>
        <v>2.5</v>
      </c>
      <c r="Q7" s="9" t="n">
        <f aca="false">AVERAGE(Q5:Q6)</f>
        <v>67.5</v>
      </c>
    </row>
    <row r="9" customFormat="false" ht="12.8" hidden="false" customHeight="false" outlineLevel="0" collapsed="false">
      <c r="A9" s="4" t="s">
        <v>137</v>
      </c>
    </row>
    <row r="10" customFormat="false" ht="12.8" hidden="false" customHeight="false" outlineLevel="0" collapsed="false">
      <c r="A10" s="0" t="s">
        <v>145</v>
      </c>
    </row>
    <row r="13" customFormat="false" ht="12.8" hidden="false" customHeight="false" outlineLevel="0" collapsed="false">
      <c r="A13" s="4" t="s">
        <v>59</v>
      </c>
    </row>
    <row r="14" customFormat="false" ht="12.8" hidden="false" customHeight="false" outlineLevel="0" collapsed="false">
      <c r="A14" s="12" t="s">
        <v>0</v>
      </c>
      <c r="C14" s="0" t="s">
        <v>61</v>
      </c>
    </row>
    <row r="15" customFormat="false" ht="12.8" hidden="false" customHeight="false" outlineLevel="0" collapsed="false">
      <c r="A15" s="12" t="s">
        <v>1</v>
      </c>
      <c r="C15" s="0" t="s">
        <v>64</v>
      </c>
    </row>
    <row r="16" customFormat="false" ht="12.8" hidden="false" customHeight="false" outlineLevel="0" collapsed="false">
      <c r="A16" s="12" t="s">
        <v>66</v>
      </c>
      <c r="C16" s="0" t="s">
        <v>67</v>
      </c>
    </row>
    <row r="17" customFormat="false" ht="12.8" hidden="false" customHeight="false" outlineLevel="0" collapsed="false">
      <c r="A17" s="12" t="s">
        <v>3</v>
      </c>
      <c r="C17" s="0" t="s">
        <v>69</v>
      </c>
    </row>
    <row r="18" customFormat="false" ht="12.8" hidden="false" customHeight="false" outlineLevel="0" collapsed="false">
      <c r="A18" s="12" t="s">
        <v>4</v>
      </c>
      <c r="C18" s="0" t="s">
        <v>72</v>
      </c>
    </row>
    <row r="19" customFormat="false" ht="12.8" hidden="false" customHeight="false" outlineLevel="0" collapsed="false">
      <c r="A19" s="12" t="s">
        <v>73</v>
      </c>
      <c r="C19" s="0" t="s">
        <v>74</v>
      </c>
    </row>
    <row r="20" customFormat="false" ht="12.8" hidden="false" customHeight="false" outlineLevel="0" collapsed="false">
      <c r="A20" s="12" t="s">
        <v>75</v>
      </c>
      <c r="C20" s="0" t="s">
        <v>76</v>
      </c>
    </row>
    <row r="21" customFormat="false" ht="12.8" hidden="false" customHeight="false" outlineLevel="0" collapsed="false">
      <c r="A21" s="12" t="s">
        <v>77</v>
      </c>
      <c r="C21" s="0" t="s">
        <v>78</v>
      </c>
    </row>
    <row r="22" customFormat="false" ht="12.8" hidden="false" customHeight="false" outlineLevel="0" collapsed="false">
      <c r="A22" s="12" t="s">
        <v>79</v>
      </c>
      <c r="C22" s="0" t="s">
        <v>80</v>
      </c>
    </row>
    <row r="23" customFormat="false" ht="12.8" hidden="false" customHeight="false" outlineLevel="0" collapsed="false">
      <c r="A23" s="12" t="s">
        <v>9</v>
      </c>
      <c r="C23" s="0" t="s">
        <v>81</v>
      </c>
    </row>
    <row r="24" customFormat="false" ht="12.8" hidden="false" customHeight="false" outlineLevel="0" collapsed="false">
      <c r="A24" s="12" t="s">
        <v>10</v>
      </c>
      <c r="C24" s="0" t="s">
        <v>82</v>
      </c>
    </row>
    <row r="25" customFormat="false" ht="12.8" hidden="false" customHeight="false" outlineLevel="0" collapsed="false">
      <c r="A25" s="12" t="s">
        <v>11</v>
      </c>
      <c r="C25" s="0" t="s">
        <v>83</v>
      </c>
    </row>
    <row r="26" customFormat="false" ht="12.8" hidden="false" customHeight="false" outlineLevel="0" collapsed="false">
      <c r="A26" s="12" t="s">
        <v>12</v>
      </c>
      <c r="C26" s="0" t="s">
        <v>84</v>
      </c>
    </row>
    <row r="27" customFormat="false" ht="12.8" hidden="false" customHeight="false" outlineLevel="0" collapsed="false">
      <c r="A27" s="12" t="s">
        <v>13</v>
      </c>
      <c r="C27" s="0" t="s">
        <v>85</v>
      </c>
    </row>
    <row r="28" customFormat="false" ht="12.8" hidden="false" customHeight="false" outlineLevel="0" collapsed="false">
      <c r="A28" s="12" t="s">
        <v>14</v>
      </c>
      <c r="C28" s="0" t="s">
        <v>86</v>
      </c>
    </row>
    <row r="29" customFormat="false" ht="12.8" hidden="false" customHeight="false" outlineLevel="0" collapsed="false">
      <c r="A29" s="12" t="s">
        <v>15</v>
      </c>
      <c r="C29" s="0" t="s">
        <v>87</v>
      </c>
    </row>
    <row r="30" customFormat="false" ht="12.8" hidden="false" customHeight="false" outlineLevel="0" collapsed="false">
      <c r="A30" s="12" t="s">
        <v>16</v>
      </c>
      <c r="C30" s="0" t="s">
        <v>88</v>
      </c>
    </row>
    <row r="31" customFormat="false" ht="12.8" hidden="false" customHeight="false" outlineLevel="0" collapsed="false">
      <c r="A31" s="12" t="s">
        <v>91</v>
      </c>
      <c r="C31" s="0" t="s">
        <v>92</v>
      </c>
    </row>
  </sheetData>
  <mergeCells count="3">
    <mergeCell ref="A2:A7"/>
    <mergeCell ref="B2:B4"/>
    <mergeCell ref="B5:B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2"/>
  <sheetViews>
    <sheetView showFormulas="false" showGridLines="true" showRowColHeaders="true" showZeros="true" rightToLeft="false" tabSelected="false" showOutlineSymbols="true" defaultGridColor="true" view="normal" topLeftCell="A13" colorId="64" zoomScale="131" zoomScaleNormal="131" zoomScalePageLayoutView="100" workbookViewId="0">
      <selection pane="topLeft" activeCell="A38" activeCellId="0" sqref="A3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35"/>
    <col collapsed="false" customWidth="true" hidden="false" outlineLevel="0" max="2" min="2" style="0" width="12.89"/>
    <col collapsed="false" customWidth="true" hidden="false" outlineLevel="0" max="3" min="3" style="0" width="22.06"/>
    <col collapsed="false" customWidth="true" hidden="false" outlineLevel="0" max="4" min="4" style="0" width="9.63"/>
    <col collapsed="false" customWidth="true" hidden="false" outlineLevel="0" max="5" min="5" style="0" width="6.29"/>
    <col collapsed="false" customWidth="true" hidden="false" outlineLevel="0" max="6" min="6" style="0" width="7.41"/>
    <col collapsed="false" customWidth="true" hidden="false" outlineLevel="0" max="7" min="7" style="0" width="7.32"/>
    <col collapsed="false" customWidth="true" hidden="false" outlineLevel="0" max="8" min="8" style="0" width="3.29"/>
    <col collapsed="false" customWidth="true" hidden="false" outlineLevel="0" max="10" min="9" style="0" width="3.66"/>
    <col collapsed="false" customWidth="true" hidden="false" outlineLevel="0" max="11" min="11" style="0" width="4.24"/>
    <col collapsed="false" customWidth="true" hidden="false" outlineLevel="0" max="12" min="12" style="0" width="4.66"/>
    <col collapsed="false" customWidth="true" hidden="false" outlineLevel="0" max="13" min="13" style="0" width="4.13"/>
    <col collapsed="false" customWidth="true" hidden="false" outlineLevel="0" max="14" min="14" style="0" width="5.19"/>
    <col collapsed="false" customWidth="true" hidden="false" outlineLevel="0" max="15" min="15" style="0" width="4.77"/>
    <col collapsed="false" customWidth="true" hidden="false" outlineLevel="0" max="16" min="16" style="0" width="6.26"/>
    <col collapsed="false" customWidth="true" hidden="false" outlineLevel="0" max="17" min="17" style="0" width="6.36"/>
    <col collapsed="false" customWidth="true" hidden="false" outlineLevel="0" max="19" min="19" style="0" width="10.29"/>
  </cols>
  <sheetData>
    <row r="1" customFormat="false" ht="12.8" hidden="false" customHeight="false" outlineLevel="0" collapsed="false">
      <c r="A1" s="0" t="s">
        <v>0</v>
      </c>
      <c r="C1" s="0" t="s">
        <v>1</v>
      </c>
      <c r="D1" s="0" t="s">
        <v>66</v>
      </c>
      <c r="E1" s="0" t="s">
        <v>3</v>
      </c>
      <c r="F1" s="0" t="s">
        <v>4</v>
      </c>
      <c r="G1" s="0" t="s">
        <v>73</v>
      </c>
      <c r="H1" s="0" t="s">
        <v>75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</row>
    <row r="2" customFormat="false" ht="12.8" hidden="false" customHeight="false" outlineLevel="0" collapsed="false">
      <c r="A2" s="20" t="s">
        <v>18</v>
      </c>
      <c r="B2" s="20" t="s">
        <v>19</v>
      </c>
      <c r="C2" s="4" t="s">
        <v>20</v>
      </c>
      <c r="D2" s="0" t="n">
        <v>13</v>
      </c>
      <c r="E2" s="0" t="n">
        <v>4</v>
      </c>
      <c r="F2" s="0" t="n">
        <v>6</v>
      </c>
      <c r="G2" s="0" t="n">
        <v>1.71</v>
      </c>
      <c r="H2" s="0" t="n">
        <v>1</v>
      </c>
      <c r="I2" s="0" t="n">
        <v>4</v>
      </c>
      <c r="J2" s="0" t="n">
        <v>6</v>
      </c>
      <c r="K2" s="0" t="n">
        <v>3</v>
      </c>
      <c r="L2" s="0" t="n">
        <v>6</v>
      </c>
      <c r="M2" s="0" t="n">
        <v>10</v>
      </c>
      <c r="N2" s="0" t="n">
        <v>9</v>
      </c>
      <c r="O2" s="0" t="n">
        <v>31.7</v>
      </c>
      <c r="P2" s="0" t="n">
        <v>1.5</v>
      </c>
      <c r="Q2" s="0" t="n">
        <v>47.55</v>
      </c>
      <c r="T2" s="0" t="s">
        <v>27</v>
      </c>
      <c r="U2" s="0" t="s">
        <v>146</v>
      </c>
    </row>
    <row r="3" customFormat="false" ht="12.8" hidden="false" customHeight="false" outlineLevel="0" collapsed="false">
      <c r="A3" s="20" t="s">
        <v>18</v>
      </c>
      <c r="B3" s="20"/>
      <c r="C3" s="4" t="s">
        <v>23</v>
      </c>
      <c r="D3" s="0" t="n">
        <v>13</v>
      </c>
      <c r="E3" s="0" t="n">
        <v>4</v>
      </c>
      <c r="F3" s="0" t="n">
        <v>6</v>
      </c>
      <c r="G3" s="0" t="n">
        <v>1.71</v>
      </c>
      <c r="H3" s="0" t="n">
        <v>1</v>
      </c>
      <c r="I3" s="0" t="n">
        <v>4</v>
      </c>
      <c r="J3" s="0" t="n">
        <v>6</v>
      </c>
      <c r="K3" s="0" t="n">
        <v>3</v>
      </c>
      <c r="L3" s="0" t="n">
        <v>6</v>
      </c>
      <c r="M3" s="0" t="n">
        <v>10</v>
      </c>
      <c r="N3" s="0" t="n">
        <v>9</v>
      </c>
      <c r="O3" s="0" t="n">
        <v>31.7</v>
      </c>
      <c r="P3" s="0" t="n">
        <v>1.5</v>
      </c>
      <c r="Q3" s="0" t="n">
        <v>47.55</v>
      </c>
      <c r="S3" s="4" t="s">
        <v>147</v>
      </c>
      <c r="T3" s="13" t="n">
        <f aca="false">O2:O4</f>
        <v>31.7</v>
      </c>
      <c r="U3" s="13" t="n">
        <f aca="false">MEDIAN(O2:O4)</f>
        <v>31.7</v>
      </c>
    </row>
    <row r="4" customFormat="false" ht="12.8" hidden="false" customHeight="false" outlineLevel="0" collapsed="false">
      <c r="A4" s="20" t="s">
        <v>18</v>
      </c>
      <c r="B4" s="20"/>
      <c r="C4" s="4" t="s">
        <v>25</v>
      </c>
      <c r="D4" s="0" t="n">
        <v>13</v>
      </c>
      <c r="E4" s="0" t="n">
        <v>4</v>
      </c>
      <c r="F4" s="0" t="n">
        <v>6</v>
      </c>
      <c r="G4" s="0" t="n">
        <v>1.71</v>
      </c>
      <c r="H4" s="0" t="n">
        <v>1</v>
      </c>
      <c r="I4" s="0" t="n">
        <v>4</v>
      </c>
      <c r="J4" s="0" t="n">
        <v>6</v>
      </c>
      <c r="K4" s="0" t="n">
        <v>3</v>
      </c>
      <c r="L4" s="0" t="n">
        <v>6</v>
      </c>
      <c r="M4" s="0" t="n">
        <v>10</v>
      </c>
      <c r="N4" s="0" t="n">
        <v>9</v>
      </c>
      <c r="O4" s="0" t="n">
        <v>31.7</v>
      </c>
      <c r="P4" s="0" t="n">
        <v>1.5</v>
      </c>
      <c r="Q4" s="0" t="n">
        <v>47.55</v>
      </c>
      <c r="S4" s="4" t="s">
        <v>148</v>
      </c>
      <c r="T4" s="13" t="n">
        <f aca="false">P2:P4</f>
        <v>1.5</v>
      </c>
      <c r="U4" s="13" t="n">
        <f aca="false">MEDIAN(P2:P4)</f>
        <v>1.5</v>
      </c>
    </row>
    <row r="5" customFormat="false" ht="12.8" hidden="false" customHeight="false" outlineLevel="0" collapsed="false">
      <c r="A5" s="20" t="s">
        <v>18</v>
      </c>
      <c r="B5" s="20" t="s">
        <v>28</v>
      </c>
      <c r="C5" s="0" t="s">
        <v>29</v>
      </c>
      <c r="D5" s="0" t="n">
        <v>9</v>
      </c>
      <c r="E5" s="0" t="n">
        <v>3</v>
      </c>
      <c r="F5" s="0" t="n">
        <v>4</v>
      </c>
      <c r="G5" s="0" t="n">
        <v>1.6</v>
      </c>
      <c r="H5" s="0" t="n">
        <v>1</v>
      </c>
      <c r="I5" s="0" t="n">
        <v>2</v>
      </c>
      <c r="J5" s="0" t="n">
        <v>4</v>
      </c>
      <c r="K5" s="0" t="n">
        <v>2</v>
      </c>
      <c r="L5" s="0" t="n">
        <v>4</v>
      </c>
      <c r="M5" s="0" t="n">
        <v>6</v>
      </c>
      <c r="N5" s="0" t="n">
        <v>6</v>
      </c>
      <c r="O5" s="0" t="n">
        <v>15.51</v>
      </c>
      <c r="P5" s="0" t="n">
        <v>1</v>
      </c>
      <c r="Q5" s="0" t="n">
        <v>15.51</v>
      </c>
      <c r="S5" s="4" t="s">
        <v>149</v>
      </c>
      <c r="T5" s="0" t="n">
        <f aca="false">AVERAGE(Q2:Q4)</f>
        <v>47.55</v>
      </c>
      <c r="U5" s="13" t="n">
        <f aca="false">MEDIAN(Q2:Q4)</f>
        <v>47.55</v>
      </c>
    </row>
    <row r="6" customFormat="false" ht="12.8" hidden="false" customHeight="false" outlineLevel="0" collapsed="false">
      <c r="A6" s="20" t="s">
        <v>18</v>
      </c>
      <c r="B6" s="20"/>
      <c r="C6" s="0" t="s">
        <v>32</v>
      </c>
      <c r="D6" s="0" t="n">
        <v>9</v>
      </c>
      <c r="E6" s="0" t="n">
        <v>3</v>
      </c>
      <c r="F6" s="0" t="n">
        <v>4</v>
      </c>
      <c r="G6" s="0" t="n">
        <v>1.6</v>
      </c>
      <c r="H6" s="0" t="n">
        <v>1</v>
      </c>
      <c r="I6" s="0" t="n">
        <v>2</v>
      </c>
      <c r="J6" s="0" t="n">
        <v>4</v>
      </c>
      <c r="K6" s="0" t="n">
        <v>2</v>
      </c>
      <c r="L6" s="0" t="n">
        <v>4</v>
      </c>
      <c r="M6" s="0" t="n">
        <v>6</v>
      </c>
      <c r="N6" s="0" t="n">
        <v>6</v>
      </c>
      <c r="O6" s="0" t="n">
        <v>15.51</v>
      </c>
      <c r="P6" s="0" t="n">
        <v>1</v>
      </c>
      <c r="Q6" s="0" t="n">
        <v>15.51</v>
      </c>
      <c r="S6" s="4"/>
    </row>
    <row r="7" customFormat="false" ht="12.8" hidden="false" customHeight="false" outlineLevel="0" collapsed="false">
      <c r="A7" s="20" t="s">
        <v>18</v>
      </c>
      <c r="B7" s="20"/>
      <c r="C7" s="0" t="s">
        <v>34</v>
      </c>
      <c r="D7" s="0" t="n">
        <v>9</v>
      </c>
      <c r="E7" s="0" t="n">
        <v>3</v>
      </c>
      <c r="F7" s="0" t="n">
        <v>4</v>
      </c>
      <c r="G7" s="0" t="n">
        <v>1.6</v>
      </c>
      <c r="H7" s="0" t="n">
        <v>1</v>
      </c>
      <c r="I7" s="0" t="n">
        <v>2</v>
      </c>
      <c r="J7" s="0" t="n">
        <v>4</v>
      </c>
      <c r="K7" s="0" t="n">
        <v>2</v>
      </c>
      <c r="L7" s="0" t="n">
        <v>4</v>
      </c>
      <c r="M7" s="0" t="n">
        <v>6</v>
      </c>
      <c r="N7" s="0" t="n">
        <v>6</v>
      </c>
      <c r="O7" s="0" t="n">
        <v>15.51</v>
      </c>
      <c r="P7" s="0" t="n">
        <v>1</v>
      </c>
      <c r="Q7" s="0" t="n">
        <v>15.51</v>
      </c>
      <c r="S7" s="4" t="s">
        <v>150</v>
      </c>
      <c r="T7" s="0" t="n">
        <f aca="false">AVERAGE(O5:O15)</f>
        <v>24.6172727272727</v>
      </c>
      <c r="U7" s="13" t="n">
        <f aca="false">MEDIAN(O5:O15)</f>
        <v>31.7</v>
      </c>
    </row>
    <row r="8" customFormat="false" ht="12.8" hidden="false" customHeight="false" outlineLevel="0" collapsed="false">
      <c r="A8" s="20" t="s">
        <v>18</v>
      </c>
      <c r="B8" s="20"/>
      <c r="C8" s="0" t="s">
        <v>36</v>
      </c>
      <c r="D8" s="0" t="n">
        <v>9</v>
      </c>
      <c r="E8" s="0" t="n">
        <v>3</v>
      </c>
      <c r="F8" s="0" t="n">
        <v>4</v>
      </c>
      <c r="G8" s="0" t="n">
        <v>1.6</v>
      </c>
      <c r="H8" s="0" t="n">
        <v>1</v>
      </c>
      <c r="I8" s="0" t="n">
        <v>2</v>
      </c>
      <c r="J8" s="0" t="n">
        <v>4</v>
      </c>
      <c r="K8" s="0" t="n">
        <v>2</v>
      </c>
      <c r="L8" s="0" t="n">
        <v>4</v>
      </c>
      <c r="M8" s="0" t="n">
        <v>6</v>
      </c>
      <c r="N8" s="0" t="n">
        <v>6</v>
      </c>
      <c r="O8" s="0" t="n">
        <v>15.51</v>
      </c>
      <c r="P8" s="0" t="n">
        <v>1</v>
      </c>
      <c r="Q8" s="0" t="n">
        <v>15.51</v>
      </c>
      <c r="S8" s="4" t="s">
        <v>151</v>
      </c>
      <c r="T8" s="0" t="n">
        <f aca="false">AVERAGE(P5:P15)</f>
        <v>1.36363636363636</v>
      </c>
      <c r="U8" s="13" t="n">
        <f aca="false">MEDIAN(P5:P15)</f>
        <v>1.5</v>
      </c>
    </row>
    <row r="9" customFormat="false" ht="12.8" hidden="false" customHeight="false" outlineLevel="0" collapsed="false">
      <c r="A9" s="20" t="s">
        <v>18</v>
      </c>
      <c r="B9" s="20"/>
      <c r="C9" s="0" t="s">
        <v>39</v>
      </c>
      <c r="D9" s="0" t="n">
        <v>13</v>
      </c>
      <c r="E9" s="0" t="n">
        <v>4</v>
      </c>
      <c r="F9" s="0" t="n">
        <v>6</v>
      </c>
      <c r="G9" s="0" t="n">
        <v>1.71</v>
      </c>
      <c r="H9" s="0" t="n">
        <v>1</v>
      </c>
      <c r="I9" s="0" t="n">
        <v>4</v>
      </c>
      <c r="J9" s="0" t="n">
        <v>6</v>
      </c>
      <c r="K9" s="0" t="n">
        <v>3</v>
      </c>
      <c r="L9" s="0" t="n">
        <v>6</v>
      </c>
      <c r="M9" s="0" t="n">
        <v>10</v>
      </c>
      <c r="N9" s="0" t="n">
        <v>9</v>
      </c>
      <c r="O9" s="0" t="n">
        <v>31.7</v>
      </c>
      <c r="P9" s="0" t="n">
        <v>1.5</v>
      </c>
      <c r="Q9" s="0" t="n">
        <v>47.55</v>
      </c>
      <c r="S9" s="4" t="s">
        <v>152</v>
      </c>
      <c r="T9" s="0" t="n">
        <f aca="false">AVERAGE(Q5:Q15)</f>
        <v>36.4209090909091</v>
      </c>
      <c r="U9" s="13" t="n">
        <f aca="false">MEDIAN(Q5:Q15)</f>
        <v>47.55</v>
      </c>
    </row>
    <row r="10" customFormat="false" ht="12.8" hidden="false" customHeight="false" outlineLevel="0" collapsed="false">
      <c r="A10" s="20" t="s">
        <v>18</v>
      </c>
      <c r="B10" s="20"/>
      <c r="C10" s="0" t="s">
        <v>42</v>
      </c>
      <c r="D10" s="0" t="n">
        <v>13</v>
      </c>
      <c r="E10" s="0" t="n">
        <v>4</v>
      </c>
      <c r="F10" s="0" t="n">
        <v>6</v>
      </c>
      <c r="G10" s="0" t="n">
        <v>1.71</v>
      </c>
      <c r="H10" s="0" t="n">
        <v>1</v>
      </c>
      <c r="I10" s="0" t="n">
        <v>4</v>
      </c>
      <c r="J10" s="0" t="n">
        <v>6</v>
      </c>
      <c r="K10" s="0" t="n">
        <v>3</v>
      </c>
      <c r="L10" s="0" t="n">
        <v>6</v>
      </c>
      <c r="M10" s="0" t="n">
        <v>10</v>
      </c>
      <c r="N10" s="0" t="n">
        <v>9</v>
      </c>
      <c r="O10" s="0" t="n">
        <v>31.7</v>
      </c>
      <c r="P10" s="0" t="n">
        <v>1.5</v>
      </c>
      <c r="Q10" s="0" t="n">
        <v>47.55</v>
      </c>
    </row>
    <row r="11" customFormat="false" ht="12.8" hidden="false" customHeight="false" outlineLevel="0" collapsed="false">
      <c r="A11" s="20" t="s">
        <v>18</v>
      </c>
      <c r="B11" s="20"/>
      <c r="C11" s="0" t="s">
        <v>44</v>
      </c>
      <c r="D11" s="0" t="n">
        <v>9</v>
      </c>
      <c r="E11" s="0" t="n">
        <v>3</v>
      </c>
      <c r="F11" s="0" t="n">
        <v>4</v>
      </c>
      <c r="G11" s="0" t="n">
        <v>1.6</v>
      </c>
      <c r="H11" s="0" t="n">
        <v>1</v>
      </c>
      <c r="I11" s="0" t="n">
        <v>2</v>
      </c>
      <c r="J11" s="0" t="n">
        <v>4</v>
      </c>
      <c r="K11" s="0" t="n">
        <v>2</v>
      </c>
      <c r="L11" s="0" t="n">
        <v>4</v>
      </c>
      <c r="M11" s="0" t="n">
        <v>6</v>
      </c>
      <c r="N11" s="0" t="n">
        <v>6</v>
      </c>
      <c r="O11" s="0" t="n">
        <v>15.51</v>
      </c>
      <c r="P11" s="0" t="n">
        <v>1</v>
      </c>
      <c r="Q11" s="0" t="n">
        <v>15.51</v>
      </c>
    </row>
    <row r="12" customFormat="false" ht="12.8" hidden="false" customHeight="false" outlineLevel="0" collapsed="false">
      <c r="A12" s="20" t="s">
        <v>18</v>
      </c>
      <c r="B12" s="20"/>
      <c r="C12" s="0" t="s">
        <v>46</v>
      </c>
      <c r="D12" s="0" t="n">
        <v>13</v>
      </c>
      <c r="E12" s="0" t="n">
        <v>4</v>
      </c>
      <c r="F12" s="0" t="n">
        <v>6</v>
      </c>
      <c r="G12" s="0" t="n">
        <v>1.71</v>
      </c>
      <c r="H12" s="0" t="n">
        <v>1</v>
      </c>
      <c r="I12" s="0" t="n">
        <v>4</v>
      </c>
      <c r="J12" s="0" t="n">
        <v>6</v>
      </c>
      <c r="K12" s="0" t="n">
        <v>3</v>
      </c>
      <c r="L12" s="0" t="n">
        <v>6</v>
      </c>
      <c r="M12" s="0" t="n">
        <v>10</v>
      </c>
      <c r="N12" s="0" t="n">
        <v>9</v>
      </c>
      <c r="O12" s="0" t="n">
        <v>31.7</v>
      </c>
      <c r="P12" s="0" t="n">
        <v>1.5</v>
      </c>
      <c r="Q12" s="0" t="n">
        <v>47.55</v>
      </c>
    </row>
    <row r="13" customFormat="false" ht="12.8" hidden="false" customHeight="false" outlineLevel="0" collapsed="false">
      <c r="A13" s="20" t="s">
        <v>18</v>
      </c>
      <c r="B13" s="20"/>
      <c r="C13" s="0" t="s">
        <v>48</v>
      </c>
      <c r="D13" s="0" t="n">
        <v>13</v>
      </c>
      <c r="E13" s="0" t="n">
        <v>4</v>
      </c>
      <c r="F13" s="0" t="n">
        <v>6</v>
      </c>
      <c r="G13" s="0" t="n">
        <v>1.71</v>
      </c>
      <c r="H13" s="0" t="n">
        <v>1</v>
      </c>
      <c r="I13" s="0" t="n">
        <v>4</v>
      </c>
      <c r="J13" s="0" t="n">
        <v>6</v>
      </c>
      <c r="K13" s="0" t="n">
        <v>3</v>
      </c>
      <c r="L13" s="0" t="n">
        <v>6</v>
      </c>
      <c r="M13" s="0" t="n">
        <v>10</v>
      </c>
      <c r="N13" s="0" t="n">
        <v>9</v>
      </c>
      <c r="O13" s="0" t="n">
        <v>31.7</v>
      </c>
      <c r="P13" s="0" t="n">
        <v>1.5</v>
      </c>
      <c r="Q13" s="0" t="n">
        <v>47.55</v>
      </c>
    </row>
    <row r="14" customFormat="false" ht="12.8" hidden="false" customHeight="false" outlineLevel="0" collapsed="false">
      <c r="A14" s="20" t="s">
        <v>18</v>
      </c>
      <c r="B14" s="20"/>
      <c r="C14" s="0" t="s">
        <v>50</v>
      </c>
      <c r="D14" s="0" t="n">
        <v>13</v>
      </c>
      <c r="E14" s="0" t="n">
        <v>4</v>
      </c>
      <c r="F14" s="0" t="n">
        <v>6</v>
      </c>
      <c r="G14" s="0" t="n">
        <v>1.71</v>
      </c>
      <c r="H14" s="0" t="n">
        <v>1</v>
      </c>
      <c r="I14" s="0" t="n">
        <v>4</v>
      </c>
      <c r="J14" s="0" t="n">
        <v>6</v>
      </c>
      <c r="K14" s="0" t="n">
        <v>4</v>
      </c>
      <c r="L14" s="0" t="n">
        <v>6</v>
      </c>
      <c r="M14" s="0" t="n">
        <v>10</v>
      </c>
      <c r="N14" s="0" t="n">
        <v>10</v>
      </c>
      <c r="O14" s="0" t="n">
        <v>33.22</v>
      </c>
      <c r="P14" s="0" t="n">
        <v>2</v>
      </c>
      <c r="Q14" s="0" t="n">
        <v>66.44</v>
      </c>
    </row>
    <row r="15" s="10" customFormat="true" ht="12.8" hidden="false" customHeight="false" outlineLevel="0" collapsed="false">
      <c r="A15" s="20" t="s">
        <v>18</v>
      </c>
      <c r="B15" s="20"/>
      <c r="C15" s="10" t="s">
        <v>53</v>
      </c>
      <c r="D15" s="10" t="n">
        <v>13</v>
      </c>
      <c r="E15" s="10" t="n">
        <v>4</v>
      </c>
      <c r="F15" s="10" t="n">
        <v>6</v>
      </c>
      <c r="G15" s="10" t="n">
        <v>1.71</v>
      </c>
      <c r="H15" s="10" t="n">
        <v>1</v>
      </c>
      <c r="I15" s="10" t="n">
        <v>4</v>
      </c>
      <c r="J15" s="10" t="n">
        <v>6</v>
      </c>
      <c r="K15" s="10" t="n">
        <v>4</v>
      </c>
      <c r="L15" s="10" t="n">
        <v>6</v>
      </c>
      <c r="M15" s="10" t="n">
        <v>10</v>
      </c>
      <c r="N15" s="10" t="n">
        <v>10</v>
      </c>
      <c r="O15" s="10" t="n">
        <v>33.22</v>
      </c>
      <c r="P15" s="10" t="n">
        <v>2</v>
      </c>
      <c r="Q15" s="10" t="n">
        <v>66.44</v>
      </c>
      <c r="AMI15" s="0"/>
      <c r="AMJ15" s="0"/>
    </row>
    <row r="16" customFormat="false" ht="12.8" hidden="false" customHeight="false" outlineLevel="0" collapsed="false">
      <c r="A16" s="20" t="s">
        <v>93</v>
      </c>
      <c r="B16" s="20" t="s">
        <v>19</v>
      </c>
      <c r="C16" s="4" t="s">
        <v>94</v>
      </c>
      <c r="D16" s="0" t="n">
        <v>9</v>
      </c>
      <c r="E16" s="0" t="n">
        <v>3</v>
      </c>
      <c r="F16" s="0" t="n">
        <v>4</v>
      </c>
      <c r="G16" s="0" t="n">
        <v>1.6</v>
      </c>
      <c r="H16" s="0" t="n">
        <v>1</v>
      </c>
      <c r="I16" s="0" t="n">
        <v>2</v>
      </c>
      <c r="J16" s="0" t="n">
        <v>4</v>
      </c>
      <c r="K16" s="0" t="n">
        <v>2</v>
      </c>
      <c r="L16" s="0" t="n">
        <v>4</v>
      </c>
      <c r="M16" s="0" t="n">
        <v>6</v>
      </c>
      <c r="N16" s="0" t="n">
        <v>6</v>
      </c>
      <c r="O16" s="0" t="n">
        <v>15.51</v>
      </c>
      <c r="P16" s="0" t="n">
        <v>1</v>
      </c>
      <c r="Q16" s="0" t="n">
        <v>15.51</v>
      </c>
    </row>
    <row r="17" customFormat="false" ht="12.8" hidden="false" customHeight="false" outlineLevel="0" collapsed="false">
      <c r="A17" s="20" t="s">
        <v>93</v>
      </c>
      <c r="B17" s="20"/>
      <c r="C17" s="4" t="s">
        <v>96</v>
      </c>
      <c r="D17" s="0" t="n">
        <v>13</v>
      </c>
      <c r="E17" s="0" t="n">
        <v>4</v>
      </c>
      <c r="F17" s="0" t="n">
        <v>6</v>
      </c>
      <c r="G17" s="0" t="n">
        <v>1.71</v>
      </c>
      <c r="H17" s="0" t="n">
        <v>1</v>
      </c>
      <c r="I17" s="0" t="n">
        <v>4</v>
      </c>
      <c r="J17" s="0" t="n">
        <v>6</v>
      </c>
      <c r="K17" s="0" t="n">
        <v>4</v>
      </c>
      <c r="L17" s="0" t="n">
        <v>6</v>
      </c>
      <c r="M17" s="0" t="n">
        <v>10</v>
      </c>
      <c r="N17" s="0" t="n">
        <v>10</v>
      </c>
      <c r="O17" s="0" t="n">
        <v>33.22</v>
      </c>
      <c r="P17" s="0" t="n">
        <v>2</v>
      </c>
      <c r="Q17" s="0" t="n">
        <v>66.44</v>
      </c>
      <c r="T17" s="0" t="s">
        <v>27</v>
      </c>
      <c r="U17" s="0" t="s">
        <v>146</v>
      </c>
    </row>
    <row r="18" customFormat="false" ht="12.8" hidden="false" customHeight="false" outlineLevel="0" collapsed="false">
      <c r="A18" s="20" t="s">
        <v>93</v>
      </c>
      <c r="B18" s="20"/>
      <c r="C18" s="4" t="s">
        <v>99</v>
      </c>
      <c r="D18" s="0" t="n">
        <v>13</v>
      </c>
      <c r="E18" s="0" t="n">
        <v>4</v>
      </c>
      <c r="F18" s="0" t="n">
        <v>6</v>
      </c>
      <c r="G18" s="0" t="n">
        <v>1.71</v>
      </c>
      <c r="H18" s="0" t="n">
        <v>1</v>
      </c>
      <c r="I18" s="0" t="n">
        <v>4</v>
      </c>
      <c r="J18" s="0" t="n">
        <v>6</v>
      </c>
      <c r="K18" s="0" t="n">
        <v>4</v>
      </c>
      <c r="L18" s="0" t="n">
        <v>6</v>
      </c>
      <c r="M18" s="0" t="n">
        <v>10</v>
      </c>
      <c r="N18" s="0" t="n">
        <v>10</v>
      </c>
      <c r="O18" s="0" t="n">
        <v>33.22</v>
      </c>
      <c r="P18" s="0" t="n">
        <v>2</v>
      </c>
      <c r="Q18" s="0" t="n">
        <v>66.44</v>
      </c>
      <c r="S18" s="4" t="s">
        <v>147</v>
      </c>
      <c r="T18" s="13" t="n">
        <f aca="false">O16:O19</f>
        <v>33.22</v>
      </c>
      <c r="U18" s="13" t="n">
        <f aca="false">MEDIAN(O16:O20)</f>
        <v>33.22</v>
      </c>
    </row>
    <row r="19" customFormat="false" ht="12.8" hidden="false" customHeight="false" outlineLevel="0" collapsed="false">
      <c r="A19" s="20" t="s">
        <v>93</v>
      </c>
      <c r="B19" s="20"/>
      <c r="C19" s="4" t="s">
        <v>101</v>
      </c>
      <c r="D19" s="0" t="n">
        <v>9</v>
      </c>
      <c r="E19" s="0" t="n">
        <v>3</v>
      </c>
      <c r="F19" s="0" t="n">
        <v>4</v>
      </c>
      <c r="G19" s="0" t="n">
        <v>1.6</v>
      </c>
      <c r="H19" s="0" t="n">
        <v>1</v>
      </c>
      <c r="I19" s="0" t="n">
        <v>2</v>
      </c>
      <c r="J19" s="0" t="n">
        <v>4</v>
      </c>
      <c r="K19" s="0" t="n">
        <v>2</v>
      </c>
      <c r="L19" s="0" t="n">
        <v>4</v>
      </c>
      <c r="M19" s="0" t="n">
        <v>6</v>
      </c>
      <c r="N19" s="0" t="n">
        <v>6</v>
      </c>
      <c r="O19" s="0" t="n">
        <v>15.51</v>
      </c>
      <c r="P19" s="0" t="n">
        <v>1</v>
      </c>
      <c r="Q19" s="0" t="n">
        <v>15.51</v>
      </c>
      <c r="S19" s="4" t="s">
        <v>148</v>
      </c>
      <c r="T19" s="13" t="n">
        <f aca="false">P16:P20</f>
        <v>1</v>
      </c>
      <c r="U19" s="13" t="n">
        <f aca="false">MEDIAN(P16:P20)</f>
        <v>2</v>
      </c>
    </row>
    <row r="20" customFormat="false" ht="12.8" hidden="false" customHeight="false" outlineLevel="0" collapsed="false">
      <c r="A20" s="20" t="s">
        <v>93</v>
      </c>
      <c r="B20" s="20"/>
      <c r="C20" s="4" t="s">
        <v>103</v>
      </c>
      <c r="D20" s="0" t="n">
        <v>13</v>
      </c>
      <c r="E20" s="0" t="n">
        <v>4</v>
      </c>
      <c r="F20" s="0" t="n">
        <v>6</v>
      </c>
      <c r="G20" s="0" t="n">
        <v>1.71</v>
      </c>
      <c r="H20" s="0" t="n">
        <v>1</v>
      </c>
      <c r="I20" s="0" t="n">
        <v>4</v>
      </c>
      <c r="J20" s="0" t="n">
        <v>6</v>
      </c>
      <c r="K20" s="0" t="n">
        <v>4</v>
      </c>
      <c r="L20" s="0" t="n">
        <v>6</v>
      </c>
      <c r="M20" s="0" t="n">
        <v>10</v>
      </c>
      <c r="N20" s="0" t="n">
        <v>10</v>
      </c>
      <c r="O20" s="0" t="n">
        <v>33.22</v>
      </c>
      <c r="P20" s="0" t="n">
        <v>2</v>
      </c>
      <c r="Q20" s="0" t="n">
        <v>66.44</v>
      </c>
      <c r="S20" s="4" t="s">
        <v>149</v>
      </c>
      <c r="T20" s="0" t="n">
        <f aca="false">AVERAGE(Q16:Q20)</f>
        <v>46.068</v>
      </c>
      <c r="U20" s="13" t="n">
        <f aca="false">MEDIAN(Q16:Q20)</f>
        <v>66.44</v>
      </c>
    </row>
    <row r="21" customFormat="false" ht="12.8" hidden="false" customHeight="false" outlineLevel="0" collapsed="false">
      <c r="A21" s="20" t="s">
        <v>93</v>
      </c>
      <c r="B21" s="20" t="s">
        <v>28</v>
      </c>
      <c r="C21" s="0" t="s">
        <v>106</v>
      </c>
      <c r="D21" s="0" t="n">
        <v>9</v>
      </c>
      <c r="E21" s="0" t="n">
        <v>3</v>
      </c>
      <c r="F21" s="0" t="n">
        <v>4</v>
      </c>
      <c r="G21" s="0" t="n">
        <v>1.6</v>
      </c>
      <c r="H21" s="0" t="n">
        <v>1</v>
      </c>
      <c r="I21" s="0" t="n">
        <v>2</v>
      </c>
      <c r="J21" s="0" t="n">
        <v>4</v>
      </c>
      <c r="K21" s="0" t="n">
        <v>2</v>
      </c>
      <c r="L21" s="0" t="n">
        <v>4</v>
      </c>
      <c r="M21" s="0" t="n">
        <v>6</v>
      </c>
      <c r="N21" s="0" t="n">
        <v>6</v>
      </c>
      <c r="O21" s="0" t="n">
        <v>15.51</v>
      </c>
      <c r="P21" s="0" t="n">
        <v>1</v>
      </c>
      <c r="Q21" s="0" t="n">
        <v>15.51</v>
      </c>
      <c r="S21" s="4" t="s">
        <v>150</v>
      </c>
      <c r="T21" s="0" t="n">
        <f aca="false">AVERAGE(O21:O31)</f>
        <v>15.2227272727273</v>
      </c>
      <c r="U21" s="13" t="n">
        <f aca="false">MEDIAN(O21:O31)</f>
        <v>15.51</v>
      </c>
    </row>
    <row r="22" customFormat="false" ht="12.8" hidden="false" customHeight="false" outlineLevel="0" collapsed="false">
      <c r="A22" s="20" t="s">
        <v>93</v>
      </c>
      <c r="B22" s="20"/>
      <c r="C22" s="0" t="s">
        <v>107</v>
      </c>
      <c r="D22" s="0" t="n">
        <v>9</v>
      </c>
      <c r="E22" s="0" t="n">
        <v>3</v>
      </c>
      <c r="F22" s="0" t="n">
        <v>4</v>
      </c>
      <c r="G22" s="0" t="n">
        <v>1.6</v>
      </c>
      <c r="H22" s="0" t="n">
        <v>1</v>
      </c>
      <c r="I22" s="0" t="n">
        <v>2</v>
      </c>
      <c r="J22" s="0" t="n">
        <v>4</v>
      </c>
      <c r="K22" s="0" t="n">
        <v>2</v>
      </c>
      <c r="L22" s="0" t="n">
        <v>4</v>
      </c>
      <c r="M22" s="0" t="n">
        <v>6</v>
      </c>
      <c r="N22" s="0" t="n">
        <v>6</v>
      </c>
      <c r="O22" s="0" t="n">
        <v>15.51</v>
      </c>
      <c r="P22" s="0" t="n">
        <v>1</v>
      </c>
      <c r="Q22" s="0" t="n">
        <v>15.51</v>
      </c>
      <c r="S22" s="4" t="s">
        <v>151</v>
      </c>
      <c r="T22" s="0" t="n">
        <f aca="false">AVERAGE(P21:P31)</f>
        <v>0.909090909090909</v>
      </c>
      <c r="U22" s="13" t="n">
        <f aca="false">MEDIAN(P21:P31)</f>
        <v>1</v>
      </c>
    </row>
    <row r="23" customFormat="false" ht="12.8" hidden="false" customHeight="false" outlineLevel="0" collapsed="false">
      <c r="A23" s="20" t="s">
        <v>93</v>
      </c>
      <c r="B23" s="20"/>
      <c r="C23" s="0" t="s">
        <v>110</v>
      </c>
      <c r="D23" s="0" t="n">
        <v>9</v>
      </c>
      <c r="E23" s="0" t="n">
        <v>3</v>
      </c>
      <c r="F23" s="0" t="n">
        <v>4</v>
      </c>
      <c r="G23" s="0" t="n">
        <v>1.6</v>
      </c>
      <c r="H23" s="0" t="n">
        <v>1</v>
      </c>
      <c r="I23" s="0" t="n">
        <v>2</v>
      </c>
      <c r="J23" s="0" t="n">
        <v>4</v>
      </c>
      <c r="K23" s="0" t="n">
        <v>2</v>
      </c>
      <c r="L23" s="0" t="n">
        <v>4</v>
      </c>
      <c r="M23" s="0" t="n">
        <v>6</v>
      </c>
      <c r="N23" s="0" t="n">
        <v>6</v>
      </c>
      <c r="O23" s="0" t="n">
        <v>15.51</v>
      </c>
      <c r="P23" s="0" t="n">
        <v>1</v>
      </c>
      <c r="Q23" s="0" t="n">
        <v>15.51</v>
      </c>
      <c r="S23" s="4" t="s">
        <v>152</v>
      </c>
      <c r="T23" s="0" t="n">
        <f aca="false">AVERAGE(Q21:Q31)</f>
        <v>13.9572727272727</v>
      </c>
      <c r="U23" s="13" t="n">
        <f aca="false">MEDIAN(Q21:Q31)</f>
        <v>15.51</v>
      </c>
    </row>
    <row r="24" customFormat="false" ht="12.8" hidden="false" customHeight="false" outlineLevel="0" collapsed="false">
      <c r="A24" s="20" t="s">
        <v>93</v>
      </c>
      <c r="B24" s="20"/>
      <c r="C24" s="0" t="s">
        <v>111</v>
      </c>
      <c r="D24" s="0" t="n">
        <v>9</v>
      </c>
      <c r="E24" s="0" t="n">
        <v>3</v>
      </c>
      <c r="F24" s="0" t="n">
        <v>4</v>
      </c>
      <c r="G24" s="0" t="n">
        <v>1.6</v>
      </c>
      <c r="H24" s="0" t="n">
        <v>1</v>
      </c>
      <c r="I24" s="0" t="n">
        <v>2</v>
      </c>
      <c r="J24" s="0" t="n">
        <v>4</v>
      </c>
      <c r="K24" s="0" t="n">
        <v>2</v>
      </c>
      <c r="L24" s="0" t="n">
        <v>4</v>
      </c>
      <c r="M24" s="0" t="n">
        <v>6</v>
      </c>
      <c r="N24" s="0" t="n">
        <v>6</v>
      </c>
      <c r="O24" s="0" t="n">
        <v>15.51</v>
      </c>
      <c r="P24" s="0" t="n">
        <v>1</v>
      </c>
      <c r="Q24" s="0" t="n">
        <v>15.51</v>
      </c>
    </row>
    <row r="25" customFormat="false" ht="12.8" hidden="false" customHeight="false" outlineLevel="0" collapsed="false">
      <c r="A25" s="20" t="s">
        <v>93</v>
      </c>
      <c r="B25" s="20"/>
      <c r="C25" s="0" t="s">
        <v>113</v>
      </c>
      <c r="D25" s="0" t="n">
        <v>9</v>
      </c>
      <c r="E25" s="0" t="n">
        <v>3</v>
      </c>
      <c r="F25" s="0" t="n">
        <v>4</v>
      </c>
      <c r="G25" s="0" t="n">
        <v>1.6</v>
      </c>
      <c r="H25" s="0" t="n">
        <v>1</v>
      </c>
      <c r="I25" s="0" t="n">
        <v>2</v>
      </c>
      <c r="J25" s="0" t="n">
        <v>4</v>
      </c>
      <c r="K25" s="0" t="n">
        <v>2</v>
      </c>
      <c r="L25" s="0" t="n">
        <v>4</v>
      </c>
      <c r="M25" s="0" t="n">
        <v>6</v>
      </c>
      <c r="N25" s="0" t="n">
        <v>6</v>
      </c>
      <c r="O25" s="0" t="n">
        <v>15.51</v>
      </c>
      <c r="P25" s="0" t="n">
        <v>1</v>
      </c>
      <c r="Q25" s="0" t="n">
        <v>15.51</v>
      </c>
    </row>
    <row r="26" customFormat="false" ht="12.8" hidden="false" customHeight="false" outlineLevel="0" collapsed="false">
      <c r="A26" s="20" t="s">
        <v>93</v>
      </c>
      <c r="B26" s="20"/>
      <c r="C26" s="0" t="s">
        <v>115</v>
      </c>
      <c r="D26" s="0" t="n">
        <v>9</v>
      </c>
      <c r="E26" s="0" t="n">
        <v>3</v>
      </c>
      <c r="F26" s="0" t="n">
        <v>4</v>
      </c>
      <c r="G26" s="0" t="n">
        <v>1.6</v>
      </c>
      <c r="H26" s="0" t="n">
        <v>1</v>
      </c>
      <c r="I26" s="0" t="n">
        <v>2</v>
      </c>
      <c r="J26" s="0" t="n">
        <v>4</v>
      </c>
      <c r="K26" s="0" t="n">
        <v>2</v>
      </c>
      <c r="L26" s="0" t="n">
        <v>4</v>
      </c>
      <c r="M26" s="0" t="n">
        <v>6</v>
      </c>
      <c r="N26" s="0" t="n">
        <v>6</v>
      </c>
      <c r="O26" s="0" t="n">
        <v>15.51</v>
      </c>
      <c r="P26" s="0" t="n">
        <v>1</v>
      </c>
      <c r="Q26" s="0" t="n">
        <v>15.51</v>
      </c>
    </row>
    <row r="27" customFormat="false" ht="12.8" hidden="false" customHeight="false" outlineLevel="0" collapsed="false">
      <c r="A27" s="20" t="s">
        <v>93</v>
      </c>
      <c r="B27" s="20"/>
      <c r="C27" s="0" t="s">
        <v>117</v>
      </c>
      <c r="D27" s="0" t="n">
        <v>9</v>
      </c>
      <c r="E27" s="0" t="n">
        <v>3</v>
      </c>
      <c r="F27" s="0" t="n">
        <v>4</v>
      </c>
      <c r="G27" s="0" t="n">
        <v>1.6</v>
      </c>
      <c r="H27" s="0" t="n">
        <v>1</v>
      </c>
      <c r="I27" s="0" t="n">
        <v>2</v>
      </c>
      <c r="J27" s="0" t="n">
        <v>4</v>
      </c>
      <c r="K27" s="0" t="n">
        <v>2</v>
      </c>
      <c r="L27" s="0" t="n">
        <v>4</v>
      </c>
      <c r="M27" s="0" t="n">
        <v>6</v>
      </c>
      <c r="N27" s="0" t="n">
        <v>6</v>
      </c>
      <c r="O27" s="0" t="n">
        <v>15.51</v>
      </c>
      <c r="P27" s="0" t="n">
        <v>1</v>
      </c>
      <c r="Q27" s="0" t="n">
        <v>15.51</v>
      </c>
    </row>
    <row r="28" customFormat="false" ht="12.8" hidden="false" customHeight="false" outlineLevel="0" collapsed="false">
      <c r="A28" s="20" t="s">
        <v>93</v>
      </c>
      <c r="B28" s="20"/>
      <c r="C28" s="0" t="s">
        <v>119</v>
      </c>
      <c r="D28" s="0" t="n">
        <v>9</v>
      </c>
      <c r="E28" s="0" t="n">
        <v>3</v>
      </c>
      <c r="F28" s="0" t="n">
        <v>4</v>
      </c>
      <c r="G28" s="0" t="n">
        <v>1.6</v>
      </c>
      <c r="H28" s="0" t="n">
        <v>1</v>
      </c>
      <c r="I28" s="0" t="n">
        <v>2</v>
      </c>
      <c r="J28" s="0" t="n">
        <v>4</v>
      </c>
      <c r="K28" s="0" t="n">
        <v>1</v>
      </c>
      <c r="L28" s="0" t="n">
        <v>4</v>
      </c>
      <c r="M28" s="0" t="n">
        <v>6</v>
      </c>
      <c r="N28" s="0" t="n">
        <v>5</v>
      </c>
      <c r="O28" s="0" t="n">
        <v>13.93</v>
      </c>
      <c r="P28" s="0" t="n">
        <v>0.5</v>
      </c>
      <c r="Q28" s="0" t="n">
        <v>6.97</v>
      </c>
    </row>
    <row r="29" customFormat="false" ht="12.8" hidden="false" customHeight="false" outlineLevel="0" collapsed="false">
      <c r="A29" s="20" t="s">
        <v>93</v>
      </c>
      <c r="B29" s="20"/>
      <c r="C29" s="0" t="s">
        <v>122</v>
      </c>
      <c r="D29" s="0" t="n">
        <v>9</v>
      </c>
      <c r="E29" s="0" t="n">
        <v>3</v>
      </c>
      <c r="F29" s="0" t="n">
        <v>4</v>
      </c>
      <c r="G29" s="0" t="n">
        <v>1.6</v>
      </c>
      <c r="H29" s="0" t="n">
        <v>1</v>
      </c>
      <c r="I29" s="0" t="n">
        <v>2</v>
      </c>
      <c r="J29" s="0" t="n">
        <v>4</v>
      </c>
      <c r="K29" s="0" t="n">
        <v>1</v>
      </c>
      <c r="L29" s="0" t="n">
        <v>4</v>
      </c>
      <c r="M29" s="0" t="n">
        <v>6</v>
      </c>
      <c r="N29" s="0" t="n">
        <v>5</v>
      </c>
      <c r="O29" s="0" t="n">
        <v>13.93</v>
      </c>
      <c r="P29" s="0" t="n">
        <v>0.5</v>
      </c>
      <c r="Q29" s="0" t="n">
        <v>6.97</v>
      </c>
    </row>
    <row r="30" customFormat="false" ht="12.8" hidden="false" customHeight="false" outlineLevel="0" collapsed="false">
      <c r="A30" s="20" t="s">
        <v>93</v>
      </c>
      <c r="B30" s="20"/>
      <c r="C30" s="0" t="s">
        <v>125</v>
      </c>
      <c r="D30" s="0" t="n">
        <v>9</v>
      </c>
      <c r="E30" s="0" t="n">
        <v>3</v>
      </c>
      <c r="F30" s="0" t="n">
        <v>4</v>
      </c>
      <c r="G30" s="0" t="n">
        <v>1.6</v>
      </c>
      <c r="H30" s="0" t="n">
        <v>1</v>
      </c>
      <c r="I30" s="0" t="n">
        <v>2</v>
      </c>
      <c r="J30" s="0" t="n">
        <v>4</v>
      </c>
      <c r="K30" s="0" t="n">
        <v>2</v>
      </c>
      <c r="L30" s="0" t="n">
        <v>4</v>
      </c>
      <c r="M30" s="0" t="n">
        <v>6</v>
      </c>
      <c r="N30" s="0" t="n">
        <v>6</v>
      </c>
      <c r="O30" s="0" t="n">
        <v>15.51</v>
      </c>
      <c r="P30" s="0" t="n">
        <v>1</v>
      </c>
      <c r="Q30" s="0" t="n">
        <v>15.51</v>
      </c>
    </row>
    <row r="31" s="10" customFormat="true" ht="12.8" hidden="false" customHeight="false" outlineLevel="0" collapsed="false">
      <c r="A31" s="20" t="s">
        <v>93</v>
      </c>
      <c r="B31" s="20"/>
      <c r="C31" s="10" t="s">
        <v>128</v>
      </c>
      <c r="D31" s="10" t="n">
        <v>9</v>
      </c>
      <c r="E31" s="10" t="n">
        <v>3</v>
      </c>
      <c r="F31" s="10" t="n">
        <v>4</v>
      </c>
      <c r="G31" s="10" t="n">
        <v>1.6</v>
      </c>
      <c r="H31" s="10" t="n">
        <v>1</v>
      </c>
      <c r="I31" s="10" t="n">
        <v>2</v>
      </c>
      <c r="J31" s="10" t="n">
        <v>4</v>
      </c>
      <c r="K31" s="10" t="n">
        <v>2</v>
      </c>
      <c r="L31" s="10" t="n">
        <v>4</v>
      </c>
      <c r="M31" s="10" t="n">
        <v>6</v>
      </c>
      <c r="N31" s="10" t="n">
        <v>6</v>
      </c>
      <c r="O31" s="10" t="n">
        <v>15.51</v>
      </c>
      <c r="P31" s="10" t="n">
        <v>1</v>
      </c>
      <c r="Q31" s="10" t="n">
        <v>15.51</v>
      </c>
      <c r="AMI31" s="0"/>
      <c r="AMJ31" s="0"/>
    </row>
    <row r="32" customFormat="false" ht="12.8" hidden="false" customHeight="false" outlineLevel="0" collapsed="false">
      <c r="A32" s="20" t="s">
        <v>131</v>
      </c>
      <c r="B32" s="20" t="s">
        <v>19</v>
      </c>
      <c r="C32" s="4" t="s">
        <v>20</v>
      </c>
      <c r="D32" s="0" t="n">
        <v>17</v>
      </c>
      <c r="E32" s="0" t="n">
        <v>5</v>
      </c>
      <c r="F32" s="0" t="n">
        <v>6</v>
      </c>
      <c r="G32" s="0" t="n">
        <v>1.45</v>
      </c>
      <c r="H32" s="0" t="n">
        <v>2</v>
      </c>
      <c r="I32" s="0" t="n">
        <v>8</v>
      </c>
      <c r="J32" s="0" t="n">
        <v>6</v>
      </c>
      <c r="K32" s="0" t="n">
        <v>5</v>
      </c>
      <c r="L32" s="0" t="n">
        <v>4</v>
      </c>
      <c r="M32" s="0" t="n">
        <v>14</v>
      </c>
      <c r="N32" s="0" t="n">
        <v>9</v>
      </c>
      <c r="O32" s="0" t="n">
        <v>44.38</v>
      </c>
      <c r="P32" s="0" t="n">
        <v>3.75</v>
      </c>
      <c r="Q32" s="0" t="n">
        <v>166.42</v>
      </c>
      <c r="S32" s="4" t="s">
        <v>147</v>
      </c>
      <c r="T32" s="13" t="n">
        <f aca="false">O32:O33</f>
        <v>44.38</v>
      </c>
      <c r="U32" s="13" t="n">
        <f aca="false">MEDIAN(O32:O33)</f>
        <v>31.235</v>
      </c>
    </row>
    <row r="33" customFormat="false" ht="12.8" hidden="false" customHeight="false" outlineLevel="0" collapsed="false">
      <c r="A33" s="20" t="s">
        <v>131</v>
      </c>
      <c r="B33" s="20"/>
      <c r="C33" s="4" t="s">
        <v>23</v>
      </c>
      <c r="D33" s="0" t="n">
        <v>10</v>
      </c>
      <c r="E33" s="0" t="n">
        <v>4</v>
      </c>
      <c r="F33" s="0" t="n">
        <v>3</v>
      </c>
      <c r="G33" s="0" t="n">
        <v>1.29</v>
      </c>
      <c r="H33" s="0" t="n">
        <v>2</v>
      </c>
      <c r="I33" s="0" t="n">
        <v>4</v>
      </c>
      <c r="J33" s="0" t="n">
        <v>3</v>
      </c>
      <c r="K33" s="0" t="n">
        <v>3</v>
      </c>
      <c r="L33" s="0" t="n">
        <v>3</v>
      </c>
      <c r="M33" s="0" t="n">
        <v>7</v>
      </c>
      <c r="N33" s="0" t="n">
        <v>6</v>
      </c>
      <c r="O33" s="0" t="n">
        <v>18.09</v>
      </c>
      <c r="P33" s="0" t="n">
        <v>1.5</v>
      </c>
      <c r="Q33" s="0" t="n">
        <v>27.14</v>
      </c>
      <c r="S33" s="4" t="s">
        <v>148</v>
      </c>
      <c r="T33" s="13" t="n">
        <f aca="false">P32:P33</f>
        <v>1.5</v>
      </c>
      <c r="U33" s="13" t="n">
        <f aca="false">MEDIAN(P32:P33)</f>
        <v>2.625</v>
      </c>
    </row>
    <row r="34" customFormat="false" ht="12.8" hidden="false" customHeight="false" outlineLevel="0" collapsed="false">
      <c r="A34" s="20" t="s">
        <v>131</v>
      </c>
      <c r="B34" s="20" t="s">
        <v>28</v>
      </c>
      <c r="C34" s="0" t="s">
        <v>25</v>
      </c>
      <c r="D34" s="0" t="n">
        <v>11</v>
      </c>
      <c r="E34" s="0" t="n">
        <v>4</v>
      </c>
      <c r="F34" s="0" t="n">
        <v>4</v>
      </c>
      <c r="G34" s="0" t="n">
        <v>1.43</v>
      </c>
      <c r="H34" s="0" t="n">
        <v>2</v>
      </c>
      <c r="I34" s="0" t="n">
        <v>4</v>
      </c>
      <c r="J34" s="0" t="n">
        <v>4</v>
      </c>
      <c r="K34" s="0" t="n">
        <v>3</v>
      </c>
      <c r="L34" s="0" t="n">
        <v>4</v>
      </c>
      <c r="M34" s="0" t="n">
        <v>8</v>
      </c>
      <c r="N34" s="0" t="n">
        <v>7</v>
      </c>
      <c r="O34" s="0" t="n">
        <v>22.46</v>
      </c>
      <c r="P34" s="0" t="n">
        <v>1.5</v>
      </c>
      <c r="Q34" s="0" t="n">
        <v>33.69</v>
      </c>
      <c r="S34" s="4" t="s">
        <v>149</v>
      </c>
      <c r="T34" s="0" t="n">
        <f aca="false">AVERAGE(Q32:Q33)</f>
        <v>96.78</v>
      </c>
      <c r="U34" s="13" t="n">
        <f aca="false">MEDIAN(Q32:Q33)</f>
        <v>96.78</v>
      </c>
    </row>
    <row r="35" customFormat="false" ht="12.8" hidden="false" customHeight="false" outlineLevel="0" collapsed="false">
      <c r="A35" s="20" t="s">
        <v>131</v>
      </c>
      <c r="B35" s="20"/>
      <c r="C35" s="0" t="s">
        <v>29</v>
      </c>
      <c r="D35" s="0" t="n">
        <v>11</v>
      </c>
      <c r="E35" s="0" t="n">
        <v>4</v>
      </c>
      <c r="F35" s="0" t="n">
        <v>4</v>
      </c>
      <c r="G35" s="0" t="n">
        <v>1.43</v>
      </c>
      <c r="H35" s="0" t="n">
        <v>2</v>
      </c>
      <c r="I35" s="0" t="n">
        <v>4</v>
      </c>
      <c r="J35" s="0" t="n">
        <v>4</v>
      </c>
      <c r="K35" s="0" t="n">
        <v>3</v>
      </c>
      <c r="L35" s="0" t="n">
        <v>4</v>
      </c>
      <c r="M35" s="0" t="n">
        <v>8</v>
      </c>
      <c r="N35" s="0" t="n">
        <v>7</v>
      </c>
      <c r="O35" s="0" t="n">
        <v>22.46</v>
      </c>
      <c r="P35" s="0" t="n">
        <v>1.5</v>
      </c>
      <c r="Q35" s="0" t="n">
        <v>33.69</v>
      </c>
      <c r="S35" s="4" t="s">
        <v>150</v>
      </c>
      <c r="T35" s="0" t="n">
        <f aca="false">AVERAGE(O35:O37)</f>
        <v>22.9733333333333</v>
      </c>
      <c r="U35" s="13" t="n">
        <f aca="false">MEDIAN(O34:O37)</f>
        <v>22.46</v>
      </c>
    </row>
    <row r="36" customFormat="false" ht="12.8" hidden="false" customHeight="false" outlineLevel="0" collapsed="false">
      <c r="A36" s="20" t="s">
        <v>131</v>
      </c>
      <c r="B36" s="20"/>
      <c r="C36" s="0" t="s">
        <v>32</v>
      </c>
      <c r="D36" s="0" t="n">
        <v>11</v>
      </c>
      <c r="E36" s="0" t="n">
        <v>4</v>
      </c>
      <c r="F36" s="0" t="n">
        <v>4</v>
      </c>
      <c r="G36" s="0" t="n">
        <v>1.43</v>
      </c>
      <c r="H36" s="0" t="n">
        <v>2</v>
      </c>
      <c r="I36" s="0" t="n">
        <v>4</v>
      </c>
      <c r="J36" s="0" t="n">
        <v>4</v>
      </c>
      <c r="K36" s="0" t="n">
        <v>3</v>
      </c>
      <c r="L36" s="0" t="n">
        <v>4</v>
      </c>
      <c r="M36" s="0" t="n">
        <v>8</v>
      </c>
      <c r="N36" s="0" t="n">
        <v>7</v>
      </c>
      <c r="O36" s="0" t="n">
        <v>22.46</v>
      </c>
      <c r="P36" s="0" t="n">
        <v>1.5</v>
      </c>
      <c r="Q36" s="0" t="n">
        <v>33.69</v>
      </c>
      <c r="S36" s="4" t="s">
        <v>151</v>
      </c>
      <c r="T36" s="0" t="n">
        <f aca="false">AVERAGE(P35:P37)</f>
        <v>1.66666666666667</v>
      </c>
      <c r="U36" s="13" t="n">
        <f aca="false">MEDIAN(P35:P37)</f>
        <v>1.5</v>
      </c>
    </row>
    <row r="37" s="10" customFormat="true" ht="12.8" hidden="false" customHeight="false" outlineLevel="0" collapsed="false">
      <c r="A37" s="20" t="s">
        <v>131</v>
      </c>
      <c r="B37" s="20"/>
      <c r="C37" s="10" t="s">
        <v>46</v>
      </c>
      <c r="D37" s="10" t="n">
        <v>11</v>
      </c>
      <c r="E37" s="10" t="n">
        <v>4</v>
      </c>
      <c r="F37" s="10" t="n">
        <v>4</v>
      </c>
      <c r="G37" s="10" t="n">
        <v>1.43</v>
      </c>
      <c r="H37" s="10" t="n">
        <v>2</v>
      </c>
      <c r="I37" s="10" t="n">
        <v>4</v>
      </c>
      <c r="J37" s="10" t="n">
        <v>4</v>
      </c>
      <c r="K37" s="10" t="n">
        <v>4</v>
      </c>
      <c r="L37" s="10" t="n">
        <v>4</v>
      </c>
      <c r="M37" s="10" t="n">
        <v>8</v>
      </c>
      <c r="N37" s="10" t="n">
        <v>8</v>
      </c>
      <c r="O37" s="10" t="n">
        <v>24</v>
      </c>
      <c r="P37" s="10" t="n">
        <v>2</v>
      </c>
      <c r="Q37" s="10" t="n">
        <v>48</v>
      </c>
      <c r="S37" s="15" t="s">
        <v>152</v>
      </c>
      <c r="T37" s="10" t="n">
        <f aca="false">AVERAGE(Q35:Q37)</f>
        <v>38.46</v>
      </c>
      <c r="U37" s="16" t="n">
        <f aca="false">MEDIAN(Q34:Q37)</f>
        <v>33.69</v>
      </c>
      <c r="AMI37" s="0"/>
      <c r="AMJ37" s="0"/>
    </row>
    <row r="38" customFormat="false" ht="12.8" hidden="false" customHeight="false" outlineLevel="0" collapsed="false">
      <c r="A38" s="20" t="s">
        <v>139</v>
      </c>
      <c r="B38" s="20" t="s">
        <v>19</v>
      </c>
      <c r="C38" s="4" t="s">
        <v>94</v>
      </c>
      <c r="D38" s="0" t="n">
        <v>15</v>
      </c>
      <c r="E38" s="0" t="n">
        <v>4</v>
      </c>
      <c r="F38" s="0" t="n">
        <v>6</v>
      </c>
      <c r="G38" s="0" t="n">
        <v>1.56</v>
      </c>
      <c r="H38" s="0" t="n">
        <v>1</v>
      </c>
      <c r="I38" s="0" t="n">
        <v>6</v>
      </c>
      <c r="J38" s="0" t="n">
        <v>6</v>
      </c>
      <c r="K38" s="0" t="n">
        <v>4</v>
      </c>
      <c r="L38" s="0" t="n">
        <v>6</v>
      </c>
      <c r="M38" s="0" t="n">
        <v>12</v>
      </c>
      <c r="N38" s="0" t="n">
        <v>10</v>
      </c>
      <c r="O38" s="0" t="n">
        <v>39.86</v>
      </c>
      <c r="P38" s="0" t="n">
        <v>2</v>
      </c>
      <c r="Q38" s="0" t="n">
        <v>79.73</v>
      </c>
    </row>
    <row r="39" customFormat="false" ht="12.8" hidden="false" customHeight="false" outlineLevel="0" collapsed="false">
      <c r="A39" s="20" t="s">
        <v>139</v>
      </c>
      <c r="B39" s="20"/>
      <c r="C39" s="4" t="s">
        <v>96</v>
      </c>
      <c r="D39" s="0" t="n">
        <v>18</v>
      </c>
      <c r="E39" s="0" t="n">
        <v>4</v>
      </c>
      <c r="F39" s="0" t="n">
        <v>8</v>
      </c>
      <c r="G39" s="0" t="n">
        <v>1.7</v>
      </c>
      <c r="H39" s="0" t="n">
        <v>1</v>
      </c>
      <c r="I39" s="0" t="n">
        <v>7</v>
      </c>
      <c r="J39" s="0" t="n">
        <v>8</v>
      </c>
      <c r="K39" s="0" t="n">
        <v>4</v>
      </c>
      <c r="L39" s="0" t="n">
        <v>8</v>
      </c>
      <c r="M39" s="0" t="n">
        <v>15</v>
      </c>
      <c r="N39" s="0" t="n">
        <v>12</v>
      </c>
      <c r="O39" s="0" t="n">
        <v>53.77</v>
      </c>
      <c r="P39" s="0" t="n">
        <v>2</v>
      </c>
      <c r="Q39" s="0" t="n">
        <v>107.55</v>
      </c>
    </row>
    <row r="40" customFormat="false" ht="12.8" hidden="false" customHeight="false" outlineLevel="0" collapsed="false">
      <c r="A40" s="20" t="s">
        <v>139</v>
      </c>
      <c r="B40" s="20" t="s">
        <v>28</v>
      </c>
      <c r="C40" s="0" t="s">
        <v>110</v>
      </c>
      <c r="D40" s="0" t="n">
        <v>12</v>
      </c>
      <c r="E40" s="0" t="n">
        <v>4</v>
      </c>
      <c r="F40" s="0" t="n">
        <v>5</v>
      </c>
      <c r="G40" s="0" t="n">
        <v>1.57</v>
      </c>
      <c r="H40" s="0" t="n">
        <v>1</v>
      </c>
      <c r="I40" s="0" t="n">
        <v>4</v>
      </c>
      <c r="J40" s="0" t="n">
        <v>5</v>
      </c>
      <c r="K40" s="0" t="n">
        <v>4</v>
      </c>
      <c r="L40" s="0" t="n">
        <v>4</v>
      </c>
      <c r="M40" s="0" t="n">
        <v>9</v>
      </c>
      <c r="N40" s="0" t="n">
        <v>8</v>
      </c>
      <c r="O40" s="0" t="n">
        <v>27</v>
      </c>
      <c r="P40" s="0" t="n">
        <v>2.5</v>
      </c>
      <c r="Q40" s="0" t="n">
        <v>67.5</v>
      </c>
    </row>
    <row r="41" s="10" customFormat="true" ht="12.8" hidden="false" customHeight="false" outlineLevel="0" collapsed="false">
      <c r="A41" s="20" t="s">
        <v>139</v>
      </c>
      <c r="B41" s="20"/>
      <c r="C41" s="10" t="s">
        <v>143</v>
      </c>
      <c r="D41" s="10" t="n">
        <v>12</v>
      </c>
      <c r="E41" s="10" t="n">
        <v>4</v>
      </c>
      <c r="F41" s="10" t="n">
        <v>5</v>
      </c>
      <c r="G41" s="10" t="n">
        <v>1.57</v>
      </c>
      <c r="H41" s="10" t="n">
        <v>1</v>
      </c>
      <c r="I41" s="10" t="n">
        <v>4</v>
      </c>
      <c r="J41" s="10" t="n">
        <v>5</v>
      </c>
      <c r="K41" s="10" t="n">
        <v>4</v>
      </c>
      <c r="L41" s="10" t="n">
        <v>4</v>
      </c>
      <c r="M41" s="10" t="n">
        <v>9</v>
      </c>
      <c r="N41" s="10" t="n">
        <v>8</v>
      </c>
      <c r="O41" s="10" t="n">
        <v>27</v>
      </c>
      <c r="P41" s="10" t="n">
        <v>2.5</v>
      </c>
      <c r="Q41" s="10" t="n">
        <v>67.5</v>
      </c>
    </row>
    <row r="43" customFormat="false" ht="12.8" hidden="false" customHeight="false" outlineLevel="0" collapsed="false">
      <c r="A43" s="4" t="s">
        <v>59</v>
      </c>
    </row>
    <row r="44" customFormat="false" ht="12.8" hidden="false" customHeight="false" outlineLevel="0" collapsed="false">
      <c r="A44" s="12" t="s">
        <v>0</v>
      </c>
      <c r="C44" s="0" t="s">
        <v>61</v>
      </c>
    </row>
    <row r="45" customFormat="false" ht="12.8" hidden="false" customHeight="false" outlineLevel="0" collapsed="false">
      <c r="A45" s="12" t="s">
        <v>1</v>
      </c>
      <c r="C45" s="0" t="s">
        <v>64</v>
      </c>
    </row>
    <row r="46" customFormat="false" ht="12.8" hidden="false" customHeight="false" outlineLevel="0" collapsed="false">
      <c r="A46" s="12" t="s">
        <v>66</v>
      </c>
      <c r="C46" s="0" t="s">
        <v>67</v>
      </c>
    </row>
    <row r="47" customFormat="false" ht="12.8" hidden="false" customHeight="false" outlineLevel="0" collapsed="false">
      <c r="A47" s="12" t="s">
        <v>3</v>
      </c>
      <c r="C47" s="0" t="s">
        <v>69</v>
      </c>
    </row>
    <row r="48" customFormat="false" ht="12.8" hidden="false" customHeight="false" outlineLevel="0" collapsed="false">
      <c r="A48" s="12" t="s">
        <v>4</v>
      </c>
      <c r="C48" s="0" t="s">
        <v>72</v>
      </c>
    </row>
    <row r="49" customFormat="false" ht="12.8" hidden="false" customHeight="false" outlineLevel="0" collapsed="false">
      <c r="A49" s="12" t="s">
        <v>73</v>
      </c>
      <c r="C49" s="0" t="s">
        <v>74</v>
      </c>
    </row>
    <row r="50" customFormat="false" ht="12.8" hidden="false" customHeight="false" outlineLevel="0" collapsed="false">
      <c r="A50" s="12" t="s">
        <v>75</v>
      </c>
      <c r="C50" s="0" t="s">
        <v>76</v>
      </c>
    </row>
    <row r="51" customFormat="false" ht="12.8" hidden="false" customHeight="false" outlineLevel="0" collapsed="false">
      <c r="A51" s="12" t="s">
        <v>77</v>
      </c>
      <c r="C51" s="0" t="s">
        <v>78</v>
      </c>
    </row>
    <row r="52" customFormat="false" ht="12.8" hidden="false" customHeight="false" outlineLevel="0" collapsed="false">
      <c r="A52" s="12" t="s">
        <v>79</v>
      </c>
      <c r="C52" s="0" t="s">
        <v>80</v>
      </c>
    </row>
    <row r="53" customFormat="false" ht="12.8" hidden="false" customHeight="false" outlineLevel="0" collapsed="false">
      <c r="A53" s="12" t="s">
        <v>9</v>
      </c>
      <c r="C53" s="0" t="s">
        <v>81</v>
      </c>
    </row>
    <row r="54" customFormat="false" ht="12.8" hidden="false" customHeight="false" outlineLevel="0" collapsed="false">
      <c r="A54" s="12" t="s">
        <v>10</v>
      </c>
      <c r="C54" s="0" t="s">
        <v>82</v>
      </c>
    </row>
    <row r="55" customFormat="false" ht="12.8" hidden="false" customHeight="false" outlineLevel="0" collapsed="false">
      <c r="A55" s="12" t="s">
        <v>11</v>
      </c>
      <c r="C55" s="0" t="s">
        <v>83</v>
      </c>
    </row>
    <row r="56" customFormat="false" ht="12.8" hidden="false" customHeight="false" outlineLevel="0" collapsed="false">
      <c r="A56" s="12" t="s">
        <v>12</v>
      </c>
      <c r="C56" s="0" t="s">
        <v>84</v>
      </c>
    </row>
    <row r="57" customFormat="false" ht="12.8" hidden="false" customHeight="false" outlineLevel="0" collapsed="false">
      <c r="A57" s="12" t="s">
        <v>13</v>
      </c>
      <c r="C57" s="0" t="s">
        <v>85</v>
      </c>
    </row>
    <row r="58" customFormat="false" ht="12.8" hidden="false" customHeight="false" outlineLevel="0" collapsed="false">
      <c r="A58" s="12" t="s">
        <v>14</v>
      </c>
      <c r="C58" s="0" t="s">
        <v>86</v>
      </c>
    </row>
    <row r="59" customFormat="false" ht="12.8" hidden="false" customHeight="false" outlineLevel="0" collapsed="false">
      <c r="A59" s="12" t="s">
        <v>15</v>
      </c>
      <c r="C59" s="0" t="s">
        <v>87</v>
      </c>
    </row>
    <row r="60" customFormat="false" ht="12.8" hidden="false" customHeight="false" outlineLevel="0" collapsed="false">
      <c r="A60" s="12" t="s">
        <v>16</v>
      </c>
      <c r="C60" s="0" t="s">
        <v>88</v>
      </c>
    </row>
    <row r="61" customFormat="false" ht="12.8" hidden="false" customHeight="false" outlineLevel="0" collapsed="false">
      <c r="A61" s="12" t="s">
        <v>89</v>
      </c>
      <c r="C61" s="0" t="s">
        <v>90</v>
      </c>
    </row>
    <row r="62" customFormat="false" ht="12.8" hidden="false" customHeight="false" outlineLevel="0" collapsed="false">
      <c r="A62" s="12" t="s">
        <v>91</v>
      </c>
      <c r="C62" s="0" t="s">
        <v>92</v>
      </c>
    </row>
  </sheetData>
  <mergeCells count="12">
    <mergeCell ref="A2:A15"/>
    <mergeCell ref="B2:B4"/>
    <mergeCell ref="B5:B15"/>
    <mergeCell ref="A16:A31"/>
    <mergeCell ref="B16:B20"/>
    <mergeCell ref="B21:B31"/>
    <mergeCell ref="A32:A37"/>
    <mergeCell ref="B32:B33"/>
    <mergeCell ref="B34:B37"/>
    <mergeCell ref="A38:A41"/>
    <mergeCell ref="B38:B39"/>
    <mergeCell ref="B40:B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62"/>
  <sheetViews>
    <sheetView showFormulas="false" showGridLines="true" showRowColHeaders="true" showZeros="true" rightToLeft="false" tabSelected="false" showOutlineSymbols="true" defaultGridColor="true" view="normal" topLeftCell="R1" colorId="64" zoomScale="131" zoomScaleNormal="131" zoomScalePageLayoutView="100" workbookViewId="0">
      <selection pane="topLeft" activeCell="S16" activeCellId="0" sqref="S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74"/>
    <col collapsed="false" customWidth="true" hidden="false" outlineLevel="0" max="2" min="2" style="0" width="22.06"/>
    <col collapsed="false" customWidth="true" hidden="false" outlineLevel="0" max="3" min="3" style="0" width="9.63"/>
    <col collapsed="false" customWidth="true" hidden="false" outlineLevel="0" max="4" min="4" style="0" width="6.29"/>
    <col collapsed="false" customWidth="true" hidden="false" outlineLevel="0" max="5" min="5" style="0" width="7.41"/>
    <col collapsed="false" customWidth="true" hidden="false" outlineLevel="0" max="6" min="6" style="0" width="7.32"/>
    <col collapsed="false" customWidth="true" hidden="false" outlineLevel="0" max="7" min="7" style="0" width="7.63"/>
    <col collapsed="false" customWidth="true" hidden="false" outlineLevel="0" max="9" min="8" style="0" width="3.66"/>
    <col collapsed="false" customWidth="true" hidden="false" outlineLevel="0" max="10" min="10" style="0" width="4.24"/>
    <col collapsed="false" customWidth="true" hidden="false" outlineLevel="0" max="11" min="11" style="0" width="4.66"/>
    <col collapsed="false" customWidth="true" hidden="false" outlineLevel="0" max="12" min="12" style="0" width="8.66"/>
    <col collapsed="false" customWidth="true" hidden="false" outlineLevel="0" max="13" min="13" style="0" width="5.19"/>
    <col collapsed="false" customWidth="true" hidden="false" outlineLevel="0" max="16" min="14" style="0" width="10.88"/>
    <col collapsed="false" customWidth="true" hidden="false" outlineLevel="0" max="17" min="17" style="0" width="57.7"/>
    <col collapsed="false" customWidth="true" hidden="false" outlineLevel="0" max="18" min="18" style="0" width="57.56"/>
    <col collapsed="false" customWidth="true" hidden="false" outlineLevel="0" max="19" min="19" style="0" width="90.7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66</v>
      </c>
      <c r="D1" s="0" t="s">
        <v>3</v>
      </c>
      <c r="E1" s="0" t="s">
        <v>4</v>
      </c>
      <c r="F1" s="0" t="s">
        <v>73</v>
      </c>
      <c r="G1" s="0" t="s">
        <v>75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89</v>
      </c>
      <c r="S1" s="0" t="s">
        <v>91</v>
      </c>
    </row>
    <row r="2" customFormat="false" ht="12.8" hidden="false" customHeight="false" outlineLevel="0" collapsed="false">
      <c r="A2" s="20" t="s">
        <v>18</v>
      </c>
      <c r="B2" s="4" t="s">
        <v>20</v>
      </c>
      <c r="C2" s="0" t="n">
        <v>13</v>
      </c>
      <c r="D2" s="0" t="n">
        <v>4</v>
      </c>
      <c r="E2" s="0" t="n">
        <v>6</v>
      </c>
      <c r="F2" s="0" t="s">
        <v>153</v>
      </c>
      <c r="G2" s="0" t="n">
        <v>1</v>
      </c>
      <c r="H2" s="0" t="n">
        <v>4</v>
      </c>
      <c r="I2" s="0" t="n">
        <v>6</v>
      </c>
      <c r="J2" s="0" t="n">
        <v>3</v>
      </c>
      <c r="K2" s="0" t="n">
        <v>6</v>
      </c>
      <c r="L2" s="0" t="n">
        <v>10</v>
      </c>
      <c r="M2" s="0" t="n">
        <v>9</v>
      </c>
      <c r="N2" s="0" t="s">
        <v>154</v>
      </c>
      <c r="O2" s="0" t="s">
        <v>155</v>
      </c>
      <c r="P2" s="0" t="s">
        <v>156</v>
      </c>
      <c r="Q2" s="0" t="s">
        <v>21</v>
      </c>
      <c r="R2" s="0" t="s">
        <v>157</v>
      </c>
      <c r="S2" s="0" t="s">
        <v>158</v>
      </c>
    </row>
    <row r="3" customFormat="false" ht="12.8" hidden="false" customHeight="false" outlineLevel="0" collapsed="false">
      <c r="A3" s="20" t="s">
        <v>18</v>
      </c>
      <c r="B3" s="4" t="s">
        <v>23</v>
      </c>
      <c r="C3" s="0" t="n">
        <v>13</v>
      </c>
      <c r="D3" s="0" t="n">
        <v>4</v>
      </c>
      <c r="E3" s="0" t="n">
        <v>6</v>
      </c>
      <c r="F3" s="0" t="s">
        <v>153</v>
      </c>
      <c r="G3" s="0" t="n">
        <v>1</v>
      </c>
      <c r="H3" s="0" t="n">
        <v>4</v>
      </c>
      <c r="I3" s="0" t="n">
        <v>6</v>
      </c>
      <c r="J3" s="0" t="n">
        <v>3</v>
      </c>
      <c r="K3" s="0" t="n">
        <v>6</v>
      </c>
      <c r="L3" s="0" t="n">
        <v>10</v>
      </c>
      <c r="M3" s="0" t="n">
        <v>9</v>
      </c>
      <c r="N3" s="0" t="s">
        <v>154</v>
      </c>
      <c r="O3" s="0" t="s">
        <v>155</v>
      </c>
      <c r="P3" s="0" t="s">
        <v>156</v>
      </c>
      <c r="Q3" s="0" t="s">
        <v>21</v>
      </c>
      <c r="R3" s="0" t="s">
        <v>159</v>
      </c>
      <c r="S3" s="0" t="s">
        <v>160</v>
      </c>
    </row>
    <row r="4" customFormat="false" ht="12.8" hidden="false" customHeight="false" outlineLevel="0" collapsed="false">
      <c r="A4" s="20" t="s">
        <v>18</v>
      </c>
      <c r="B4" s="4" t="s">
        <v>25</v>
      </c>
      <c r="C4" s="0" t="n">
        <v>13</v>
      </c>
      <c r="D4" s="0" t="n">
        <v>4</v>
      </c>
      <c r="E4" s="0" t="n">
        <v>6</v>
      </c>
      <c r="F4" s="0" t="s">
        <v>153</v>
      </c>
      <c r="G4" s="0" t="n">
        <v>1</v>
      </c>
      <c r="H4" s="0" t="n">
        <v>4</v>
      </c>
      <c r="I4" s="0" t="n">
        <v>6</v>
      </c>
      <c r="J4" s="0" t="n">
        <v>3</v>
      </c>
      <c r="K4" s="0" t="n">
        <v>6</v>
      </c>
      <c r="L4" s="0" t="n">
        <v>10</v>
      </c>
      <c r="M4" s="0" t="n">
        <v>9</v>
      </c>
      <c r="N4" s="0" t="s">
        <v>154</v>
      </c>
      <c r="O4" s="0" t="s">
        <v>155</v>
      </c>
      <c r="P4" s="0" t="s">
        <v>156</v>
      </c>
      <c r="Q4" s="0" t="s">
        <v>21</v>
      </c>
      <c r="R4" s="0" t="s">
        <v>161</v>
      </c>
      <c r="S4" s="0" t="s">
        <v>162</v>
      </c>
    </row>
    <row r="5" customFormat="false" ht="12.8" hidden="false" customHeight="false" outlineLevel="0" collapsed="false">
      <c r="A5" s="20" t="s">
        <v>18</v>
      </c>
      <c r="B5" s="0" t="s">
        <v>29</v>
      </c>
      <c r="C5" s="0" t="n">
        <v>9</v>
      </c>
      <c r="D5" s="0" t="n">
        <v>3</v>
      </c>
      <c r="E5" s="0" t="n">
        <v>4</v>
      </c>
      <c r="F5" s="0" t="s">
        <v>163</v>
      </c>
      <c r="G5" s="0" t="n">
        <v>1</v>
      </c>
      <c r="H5" s="0" t="n">
        <v>2</v>
      </c>
      <c r="I5" s="0" t="n">
        <v>4</v>
      </c>
      <c r="J5" s="0" t="n">
        <v>2</v>
      </c>
      <c r="K5" s="0" t="n">
        <v>4</v>
      </c>
      <c r="L5" s="0" t="n">
        <v>6</v>
      </c>
      <c r="M5" s="0" t="n">
        <v>6</v>
      </c>
      <c r="N5" s="0" t="s">
        <v>164</v>
      </c>
      <c r="O5" s="0" t="s">
        <v>165</v>
      </c>
      <c r="P5" s="0" t="s">
        <v>164</v>
      </c>
      <c r="Q5" s="0" t="s">
        <v>30</v>
      </c>
      <c r="R5" s="0" t="s">
        <v>166</v>
      </c>
      <c r="S5" s="0" t="s">
        <v>167</v>
      </c>
    </row>
    <row r="6" customFormat="false" ht="12.8" hidden="false" customHeight="false" outlineLevel="0" collapsed="false">
      <c r="A6" s="20" t="s">
        <v>18</v>
      </c>
      <c r="B6" s="0" t="s">
        <v>32</v>
      </c>
      <c r="C6" s="0" t="n">
        <v>9</v>
      </c>
      <c r="D6" s="0" t="n">
        <v>3</v>
      </c>
      <c r="E6" s="0" t="n">
        <v>4</v>
      </c>
      <c r="F6" s="0" t="s">
        <v>163</v>
      </c>
      <c r="G6" s="0" t="n">
        <v>1</v>
      </c>
      <c r="H6" s="0" t="n">
        <v>2</v>
      </c>
      <c r="I6" s="0" t="n">
        <v>4</v>
      </c>
      <c r="J6" s="0" t="n">
        <v>2</v>
      </c>
      <c r="K6" s="0" t="n">
        <v>4</v>
      </c>
      <c r="L6" s="0" t="n">
        <v>6</v>
      </c>
      <c r="M6" s="0" t="n">
        <v>6</v>
      </c>
      <c r="N6" s="0" t="s">
        <v>164</v>
      </c>
      <c r="O6" s="0" t="s">
        <v>165</v>
      </c>
      <c r="P6" s="0" t="s">
        <v>164</v>
      </c>
      <c r="Q6" s="0" t="s">
        <v>30</v>
      </c>
      <c r="R6" s="0" t="s">
        <v>168</v>
      </c>
      <c r="S6" s="0" t="s">
        <v>169</v>
      </c>
    </row>
    <row r="7" customFormat="false" ht="12.8" hidden="false" customHeight="false" outlineLevel="0" collapsed="false">
      <c r="A7" s="20" t="s">
        <v>18</v>
      </c>
      <c r="B7" s="0" t="s">
        <v>34</v>
      </c>
      <c r="C7" s="0" t="n">
        <v>9</v>
      </c>
      <c r="D7" s="0" t="n">
        <v>3</v>
      </c>
      <c r="E7" s="0" t="n">
        <v>4</v>
      </c>
      <c r="F7" s="0" t="s">
        <v>163</v>
      </c>
      <c r="G7" s="0" t="n">
        <v>1</v>
      </c>
      <c r="H7" s="0" t="n">
        <v>2</v>
      </c>
      <c r="I7" s="0" t="n">
        <v>4</v>
      </c>
      <c r="J7" s="0" t="n">
        <v>2</v>
      </c>
      <c r="K7" s="0" t="n">
        <v>4</v>
      </c>
      <c r="L7" s="0" t="n">
        <v>6</v>
      </c>
      <c r="M7" s="0" t="n">
        <v>6</v>
      </c>
      <c r="N7" s="0" t="s">
        <v>164</v>
      </c>
      <c r="O7" s="0" t="s">
        <v>165</v>
      </c>
      <c r="P7" s="0" t="s">
        <v>164</v>
      </c>
      <c r="Q7" s="0" t="s">
        <v>30</v>
      </c>
      <c r="R7" s="0" t="s">
        <v>170</v>
      </c>
      <c r="S7" s="0" t="s">
        <v>171</v>
      </c>
    </row>
    <row r="8" customFormat="false" ht="12.8" hidden="false" customHeight="false" outlineLevel="0" collapsed="false">
      <c r="A8" s="20" t="s">
        <v>18</v>
      </c>
      <c r="B8" s="0" t="s">
        <v>36</v>
      </c>
      <c r="C8" s="0" t="n">
        <v>9</v>
      </c>
      <c r="D8" s="0" t="n">
        <v>3</v>
      </c>
      <c r="E8" s="0" t="n">
        <v>4</v>
      </c>
      <c r="F8" s="0" t="s">
        <v>163</v>
      </c>
      <c r="G8" s="0" t="n">
        <v>1</v>
      </c>
      <c r="H8" s="0" t="n">
        <v>2</v>
      </c>
      <c r="I8" s="0" t="n">
        <v>4</v>
      </c>
      <c r="J8" s="0" t="n">
        <v>2</v>
      </c>
      <c r="K8" s="0" t="n">
        <v>4</v>
      </c>
      <c r="L8" s="0" t="n">
        <v>6</v>
      </c>
      <c r="M8" s="0" t="n">
        <v>6</v>
      </c>
      <c r="N8" s="0" t="s">
        <v>164</v>
      </c>
      <c r="O8" s="0" t="s">
        <v>165</v>
      </c>
      <c r="P8" s="0" t="s">
        <v>164</v>
      </c>
      <c r="Q8" s="0" t="s">
        <v>37</v>
      </c>
      <c r="R8" s="0" t="s">
        <v>172</v>
      </c>
      <c r="S8" s="0" t="s">
        <v>173</v>
      </c>
    </row>
    <row r="9" customFormat="false" ht="12.8" hidden="false" customHeight="false" outlineLevel="0" collapsed="false">
      <c r="A9" s="20" t="s">
        <v>18</v>
      </c>
      <c r="B9" s="0" t="s">
        <v>39</v>
      </c>
      <c r="C9" s="0" t="n">
        <v>13</v>
      </c>
      <c r="D9" s="0" t="n">
        <v>4</v>
      </c>
      <c r="E9" s="0" t="n">
        <v>6</v>
      </c>
      <c r="F9" s="0" t="s">
        <v>153</v>
      </c>
      <c r="G9" s="0" t="n">
        <v>1</v>
      </c>
      <c r="H9" s="0" t="n">
        <v>4</v>
      </c>
      <c r="I9" s="0" t="n">
        <v>6</v>
      </c>
      <c r="J9" s="0" t="n">
        <v>3</v>
      </c>
      <c r="K9" s="0" t="n">
        <v>6</v>
      </c>
      <c r="L9" s="0" t="n">
        <v>10</v>
      </c>
      <c r="M9" s="0" t="n">
        <v>9</v>
      </c>
      <c r="N9" s="0" t="s">
        <v>154</v>
      </c>
      <c r="O9" s="0" t="s">
        <v>155</v>
      </c>
      <c r="P9" s="0" t="s">
        <v>156</v>
      </c>
      <c r="Q9" s="0" t="s">
        <v>40</v>
      </c>
      <c r="R9" s="0" t="s">
        <v>174</v>
      </c>
      <c r="S9" s="0" t="s">
        <v>175</v>
      </c>
    </row>
    <row r="10" customFormat="false" ht="12.8" hidden="false" customHeight="false" outlineLevel="0" collapsed="false">
      <c r="A10" s="20" t="s">
        <v>18</v>
      </c>
      <c r="B10" s="0" t="s">
        <v>42</v>
      </c>
      <c r="C10" s="0" t="n">
        <v>13</v>
      </c>
      <c r="D10" s="0" t="n">
        <v>4</v>
      </c>
      <c r="E10" s="0" t="n">
        <v>6</v>
      </c>
      <c r="F10" s="0" t="s">
        <v>153</v>
      </c>
      <c r="G10" s="0" t="n">
        <v>1</v>
      </c>
      <c r="H10" s="0" t="n">
        <v>4</v>
      </c>
      <c r="I10" s="0" t="n">
        <v>6</v>
      </c>
      <c r="J10" s="0" t="n">
        <v>3</v>
      </c>
      <c r="K10" s="0" t="n">
        <v>6</v>
      </c>
      <c r="L10" s="0" t="n">
        <v>10</v>
      </c>
      <c r="M10" s="0" t="n">
        <v>9</v>
      </c>
      <c r="N10" s="0" t="s">
        <v>154</v>
      </c>
      <c r="O10" s="0" t="s">
        <v>155</v>
      </c>
      <c r="P10" s="0" t="s">
        <v>156</v>
      </c>
      <c r="Q10" s="0" t="s">
        <v>40</v>
      </c>
      <c r="R10" s="0" t="s">
        <v>176</v>
      </c>
      <c r="S10" s="0" t="s">
        <v>177</v>
      </c>
    </row>
    <row r="11" customFormat="false" ht="12.8" hidden="false" customHeight="false" outlineLevel="0" collapsed="false">
      <c r="A11" s="20" t="s">
        <v>18</v>
      </c>
      <c r="B11" s="0" t="s">
        <v>44</v>
      </c>
      <c r="C11" s="0" t="n">
        <v>9</v>
      </c>
      <c r="D11" s="0" t="n">
        <v>3</v>
      </c>
      <c r="E11" s="0" t="n">
        <v>4</v>
      </c>
      <c r="F11" s="0" t="s">
        <v>163</v>
      </c>
      <c r="G11" s="0" t="n">
        <v>1</v>
      </c>
      <c r="H11" s="0" t="n">
        <v>2</v>
      </c>
      <c r="I11" s="0" t="n">
        <v>4</v>
      </c>
      <c r="J11" s="0" t="n">
        <v>2</v>
      </c>
      <c r="K11" s="0" t="n">
        <v>4</v>
      </c>
      <c r="L11" s="0" t="n">
        <v>6</v>
      </c>
      <c r="M11" s="0" t="n">
        <v>6</v>
      </c>
      <c r="N11" s="0" t="s">
        <v>164</v>
      </c>
      <c r="O11" s="0" t="s">
        <v>165</v>
      </c>
      <c r="P11" s="0" t="s">
        <v>164</v>
      </c>
      <c r="Q11" s="0" t="s">
        <v>37</v>
      </c>
      <c r="R11" s="0" t="s">
        <v>178</v>
      </c>
      <c r="S11" s="0" t="s">
        <v>179</v>
      </c>
    </row>
    <row r="12" customFormat="false" ht="12.8" hidden="false" customHeight="false" outlineLevel="0" collapsed="false">
      <c r="A12" s="20" t="s">
        <v>18</v>
      </c>
      <c r="B12" s="0" t="s">
        <v>46</v>
      </c>
      <c r="C12" s="0" t="n">
        <v>13</v>
      </c>
      <c r="D12" s="0" t="n">
        <v>4</v>
      </c>
      <c r="E12" s="0" t="n">
        <v>6</v>
      </c>
      <c r="F12" s="0" t="s">
        <v>153</v>
      </c>
      <c r="G12" s="0" t="n">
        <v>1</v>
      </c>
      <c r="H12" s="0" t="n">
        <v>4</v>
      </c>
      <c r="I12" s="0" t="n">
        <v>6</v>
      </c>
      <c r="J12" s="0" t="n">
        <v>3</v>
      </c>
      <c r="K12" s="0" t="n">
        <v>6</v>
      </c>
      <c r="L12" s="0" t="n">
        <v>10</v>
      </c>
      <c r="M12" s="0" t="n">
        <v>9</v>
      </c>
      <c r="N12" s="0" t="s">
        <v>154</v>
      </c>
      <c r="O12" s="0" t="s">
        <v>155</v>
      </c>
      <c r="P12" s="0" t="s">
        <v>156</v>
      </c>
      <c r="Q12" s="0" t="s">
        <v>21</v>
      </c>
      <c r="R12" s="0" t="s">
        <v>180</v>
      </c>
      <c r="S12" s="0" t="s">
        <v>181</v>
      </c>
    </row>
    <row r="13" customFormat="false" ht="12.8" hidden="false" customHeight="false" outlineLevel="0" collapsed="false">
      <c r="A13" s="20" t="s">
        <v>18</v>
      </c>
      <c r="B13" s="0" t="s">
        <v>48</v>
      </c>
      <c r="C13" s="0" t="n">
        <v>13</v>
      </c>
      <c r="D13" s="0" t="n">
        <v>4</v>
      </c>
      <c r="E13" s="0" t="n">
        <v>6</v>
      </c>
      <c r="F13" s="0" t="s">
        <v>153</v>
      </c>
      <c r="G13" s="0" t="n">
        <v>1</v>
      </c>
      <c r="H13" s="0" t="n">
        <v>4</v>
      </c>
      <c r="I13" s="0" t="n">
        <v>6</v>
      </c>
      <c r="J13" s="0" t="n">
        <v>3</v>
      </c>
      <c r="K13" s="0" t="n">
        <v>6</v>
      </c>
      <c r="L13" s="0" t="n">
        <v>10</v>
      </c>
      <c r="M13" s="0" t="n">
        <v>9</v>
      </c>
      <c r="N13" s="0" t="s">
        <v>154</v>
      </c>
      <c r="O13" s="0" t="s">
        <v>155</v>
      </c>
      <c r="P13" s="0" t="s">
        <v>156</v>
      </c>
      <c r="Q13" s="0" t="s">
        <v>21</v>
      </c>
      <c r="R13" s="0" t="s">
        <v>182</v>
      </c>
      <c r="S13" s="0" t="s">
        <v>183</v>
      </c>
    </row>
    <row r="14" customFormat="false" ht="12.8" hidden="false" customHeight="false" outlineLevel="0" collapsed="false">
      <c r="A14" s="20" t="s">
        <v>18</v>
      </c>
      <c r="B14" s="0" t="s">
        <v>50</v>
      </c>
      <c r="C14" s="0" t="n">
        <v>13</v>
      </c>
      <c r="D14" s="0" t="n">
        <v>4</v>
      </c>
      <c r="E14" s="0" t="n">
        <v>6</v>
      </c>
      <c r="F14" s="0" t="s">
        <v>153</v>
      </c>
      <c r="G14" s="0" t="n">
        <v>1</v>
      </c>
      <c r="H14" s="0" t="n">
        <v>4</v>
      </c>
      <c r="I14" s="0" t="n">
        <v>6</v>
      </c>
      <c r="J14" s="0" t="n">
        <v>4</v>
      </c>
      <c r="K14" s="0" t="n">
        <v>6</v>
      </c>
      <c r="L14" s="0" t="n">
        <v>10</v>
      </c>
      <c r="M14" s="0" t="n">
        <v>10</v>
      </c>
      <c r="N14" s="0" t="s">
        <v>184</v>
      </c>
      <c r="O14" s="0" t="s">
        <v>185</v>
      </c>
      <c r="P14" s="0" t="s">
        <v>186</v>
      </c>
      <c r="Q14" s="0" t="s">
        <v>51</v>
      </c>
      <c r="R14" s="0" t="s">
        <v>174</v>
      </c>
      <c r="S14" s="0" t="s">
        <v>187</v>
      </c>
    </row>
    <row r="15" s="10" customFormat="true" ht="12.8" hidden="false" customHeight="false" outlineLevel="0" collapsed="false">
      <c r="A15" s="20" t="s">
        <v>18</v>
      </c>
      <c r="B15" s="10" t="s">
        <v>53</v>
      </c>
      <c r="C15" s="10" t="n">
        <v>13</v>
      </c>
      <c r="D15" s="10" t="n">
        <v>4</v>
      </c>
      <c r="E15" s="10" t="n">
        <v>6</v>
      </c>
      <c r="F15" s="10" t="s">
        <v>153</v>
      </c>
      <c r="G15" s="10" t="n">
        <v>1</v>
      </c>
      <c r="H15" s="10" t="n">
        <v>4</v>
      </c>
      <c r="I15" s="10" t="n">
        <v>6</v>
      </c>
      <c r="J15" s="10" t="n">
        <v>4</v>
      </c>
      <c r="K15" s="10" t="n">
        <v>6</v>
      </c>
      <c r="L15" s="10" t="n">
        <v>10</v>
      </c>
      <c r="M15" s="10" t="n">
        <v>10</v>
      </c>
      <c r="N15" s="10" t="s">
        <v>184</v>
      </c>
      <c r="O15" s="10" t="s">
        <v>185</v>
      </c>
      <c r="P15" s="10" t="s">
        <v>186</v>
      </c>
      <c r="Q15" s="10" t="s">
        <v>54</v>
      </c>
      <c r="R15" s="10" t="s">
        <v>176</v>
      </c>
      <c r="S15" s="10" t="s">
        <v>188</v>
      </c>
    </row>
    <row r="16" customFormat="false" ht="12.8" hidden="false" customHeight="false" outlineLevel="0" collapsed="false">
      <c r="A16" s="20" t="s">
        <v>93</v>
      </c>
      <c r="B16" s="4" t="s">
        <v>94</v>
      </c>
      <c r="C16" s="0" t="n">
        <v>9</v>
      </c>
      <c r="D16" s="0" t="n">
        <v>3</v>
      </c>
      <c r="E16" s="0" t="n">
        <v>4</v>
      </c>
      <c r="F16" s="0" t="s">
        <v>163</v>
      </c>
      <c r="G16" s="0" t="n">
        <v>1</v>
      </c>
      <c r="H16" s="0" t="n">
        <v>2</v>
      </c>
      <c r="I16" s="0" t="n">
        <v>4</v>
      </c>
      <c r="J16" s="0" t="n">
        <v>2</v>
      </c>
      <c r="K16" s="0" t="n">
        <v>4</v>
      </c>
      <c r="L16" s="0" t="n">
        <v>6</v>
      </c>
      <c r="M16" s="0" t="n">
        <v>6</v>
      </c>
      <c r="N16" s="0" t="s">
        <v>164</v>
      </c>
      <c r="O16" s="0" t="s">
        <v>165</v>
      </c>
      <c r="P16" s="0" t="s">
        <v>164</v>
      </c>
      <c r="Q16" s="0" t="s">
        <v>30</v>
      </c>
      <c r="R16" s="0" t="s">
        <v>189</v>
      </c>
      <c r="S16" s="0" t="s">
        <v>190</v>
      </c>
    </row>
    <row r="17" customFormat="false" ht="12.8" hidden="false" customHeight="false" outlineLevel="0" collapsed="false">
      <c r="A17" s="20" t="s">
        <v>93</v>
      </c>
      <c r="B17" s="4" t="s">
        <v>96</v>
      </c>
      <c r="C17" s="0" t="n">
        <v>13</v>
      </c>
      <c r="D17" s="0" t="n">
        <v>4</v>
      </c>
      <c r="E17" s="0" t="n">
        <v>6</v>
      </c>
      <c r="F17" s="0" t="s">
        <v>153</v>
      </c>
      <c r="G17" s="0" t="n">
        <v>1</v>
      </c>
      <c r="H17" s="0" t="n">
        <v>4</v>
      </c>
      <c r="I17" s="0" t="n">
        <v>6</v>
      </c>
      <c r="J17" s="0" t="n">
        <v>4</v>
      </c>
      <c r="K17" s="0" t="n">
        <v>6</v>
      </c>
      <c r="L17" s="0" t="n">
        <v>10</v>
      </c>
      <c r="M17" s="0" t="n">
        <v>10</v>
      </c>
      <c r="N17" s="0" t="s">
        <v>184</v>
      </c>
      <c r="O17" s="0" t="s">
        <v>185</v>
      </c>
      <c r="P17" s="0" t="s">
        <v>186</v>
      </c>
      <c r="Q17" s="0" t="s">
        <v>97</v>
      </c>
      <c r="R17" s="0" t="s">
        <v>191</v>
      </c>
      <c r="S17" s="0" t="s">
        <v>192</v>
      </c>
    </row>
    <row r="18" customFormat="false" ht="12.8" hidden="false" customHeight="false" outlineLevel="0" collapsed="false">
      <c r="A18" s="20" t="s">
        <v>93</v>
      </c>
      <c r="B18" s="4" t="s">
        <v>99</v>
      </c>
      <c r="C18" s="0" t="n">
        <v>13</v>
      </c>
      <c r="D18" s="0" t="n">
        <v>4</v>
      </c>
      <c r="E18" s="0" t="n">
        <v>6</v>
      </c>
      <c r="F18" s="0" t="s">
        <v>153</v>
      </c>
      <c r="G18" s="0" t="n">
        <v>1</v>
      </c>
      <c r="H18" s="0" t="n">
        <v>4</v>
      </c>
      <c r="I18" s="0" t="n">
        <v>6</v>
      </c>
      <c r="J18" s="0" t="n">
        <v>4</v>
      </c>
      <c r="K18" s="0" t="n">
        <v>6</v>
      </c>
      <c r="L18" s="0" t="n">
        <v>10</v>
      </c>
      <c r="M18" s="0" t="n">
        <v>10</v>
      </c>
      <c r="N18" s="0" t="s">
        <v>184</v>
      </c>
      <c r="O18" s="0" t="s">
        <v>185</v>
      </c>
      <c r="P18" s="0" t="s">
        <v>186</v>
      </c>
      <c r="Q18" s="0" t="s">
        <v>97</v>
      </c>
      <c r="R18" s="0" t="s">
        <v>193</v>
      </c>
      <c r="S18" s="0" t="s">
        <v>194</v>
      </c>
    </row>
    <row r="19" customFormat="false" ht="12.8" hidden="false" customHeight="false" outlineLevel="0" collapsed="false">
      <c r="A19" s="20" t="s">
        <v>93</v>
      </c>
      <c r="B19" s="4" t="s">
        <v>101</v>
      </c>
      <c r="C19" s="0" t="n">
        <v>9</v>
      </c>
      <c r="D19" s="0" t="n">
        <v>3</v>
      </c>
      <c r="E19" s="0" t="n">
        <v>4</v>
      </c>
      <c r="F19" s="0" t="s">
        <v>163</v>
      </c>
      <c r="G19" s="0" t="n">
        <v>1</v>
      </c>
      <c r="H19" s="0" t="n">
        <v>2</v>
      </c>
      <c r="I19" s="0" t="n">
        <v>4</v>
      </c>
      <c r="J19" s="0" t="n">
        <v>2</v>
      </c>
      <c r="K19" s="0" t="n">
        <v>4</v>
      </c>
      <c r="L19" s="0" t="n">
        <v>6</v>
      </c>
      <c r="M19" s="0" t="n">
        <v>6</v>
      </c>
      <c r="N19" s="0" t="s">
        <v>164</v>
      </c>
      <c r="O19" s="0" t="s">
        <v>165</v>
      </c>
      <c r="P19" s="0" t="s">
        <v>164</v>
      </c>
      <c r="Q19" s="0" t="s">
        <v>30</v>
      </c>
      <c r="R19" s="0" t="s">
        <v>195</v>
      </c>
      <c r="S19" s="0" t="s">
        <v>196</v>
      </c>
    </row>
    <row r="20" customFormat="false" ht="12.8" hidden="false" customHeight="false" outlineLevel="0" collapsed="false">
      <c r="A20" s="20" t="s">
        <v>93</v>
      </c>
      <c r="B20" s="4" t="s">
        <v>103</v>
      </c>
      <c r="C20" s="0" t="n">
        <v>13</v>
      </c>
      <c r="D20" s="0" t="n">
        <v>4</v>
      </c>
      <c r="E20" s="0" t="n">
        <v>6</v>
      </c>
      <c r="F20" s="0" t="s">
        <v>153</v>
      </c>
      <c r="G20" s="0" t="n">
        <v>1</v>
      </c>
      <c r="H20" s="0" t="n">
        <v>4</v>
      </c>
      <c r="I20" s="0" t="n">
        <v>6</v>
      </c>
      <c r="J20" s="0" t="n">
        <v>4</v>
      </c>
      <c r="K20" s="0" t="n">
        <v>6</v>
      </c>
      <c r="L20" s="0" t="n">
        <v>10</v>
      </c>
      <c r="M20" s="0" t="n">
        <v>10</v>
      </c>
      <c r="N20" s="0" t="s">
        <v>184</v>
      </c>
      <c r="O20" s="0" t="s">
        <v>185</v>
      </c>
      <c r="P20" s="0" t="s">
        <v>186</v>
      </c>
      <c r="Q20" s="0" t="s">
        <v>104</v>
      </c>
      <c r="R20" s="0" t="s">
        <v>197</v>
      </c>
      <c r="S20" s="0" t="s">
        <v>198</v>
      </c>
    </row>
    <row r="21" customFormat="false" ht="12.8" hidden="false" customHeight="false" outlineLevel="0" collapsed="false">
      <c r="A21" s="20" t="s">
        <v>93</v>
      </c>
      <c r="B21" s="0" t="s">
        <v>106</v>
      </c>
      <c r="C21" s="0" t="n">
        <v>9</v>
      </c>
      <c r="D21" s="0" t="n">
        <v>3</v>
      </c>
      <c r="E21" s="0" t="n">
        <v>4</v>
      </c>
      <c r="F21" s="0" t="s">
        <v>163</v>
      </c>
      <c r="G21" s="0" t="n">
        <v>1</v>
      </c>
      <c r="H21" s="0" t="n">
        <v>2</v>
      </c>
      <c r="I21" s="0" t="n">
        <v>4</v>
      </c>
      <c r="J21" s="0" t="n">
        <v>2</v>
      </c>
      <c r="K21" s="0" t="n">
        <v>4</v>
      </c>
      <c r="L21" s="0" t="n">
        <v>6</v>
      </c>
      <c r="M21" s="0" t="n">
        <v>6</v>
      </c>
      <c r="N21" s="0" t="s">
        <v>164</v>
      </c>
      <c r="O21" s="0" t="s">
        <v>165</v>
      </c>
      <c r="P21" s="0" t="s">
        <v>164</v>
      </c>
      <c r="Q21" s="0" t="s">
        <v>30</v>
      </c>
      <c r="R21" s="0" t="s">
        <v>195</v>
      </c>
      <c r="S21" s="0" t="s">
        <v>199</v>
      </c>
    </row>
    <row r="22" customFormat="false" ht="12.8" hidden="false" customHeight="false" outlineLevel="0" collapsed="false">
      <c r="A22" s="20" t="s">
        <v>93</v>
      </c>
      <c r="B22" s="0" t="s">
        <v>107</v>
      </c>
      <c r="C22" s="0" t="n">
        <v>9</v>
      </c>
      <c r="D22" s="0" t="n">
        <v>3</v>
      </c>
      <c r="E22" s="0" t="n">
        <v>4</v>
      </c>
      <c r="F22" s="0" t="s">
        <v>163</v>
      </c>
      <c r="G22" s="0" t="n">
        <v>1</v>
      </c>
      <c r="H22" s="0" t="n">
        <v>2</v>
      </c>
      <c r="I22" s="0" t="n">
        <v>4</v>
      </c>
      <c r="J22" s="0" t="n">
        <v>2</v>
      </c>
      <c r="K22" s="0" t="n">
        <v>4</v>
      </c>
      <c r="L22" s="0" t="n">
        <v>6</v>
      </c>
      <c r="M22" s="0" t="n">
        <v>6</v>
      </c>
      <c r="N22" s="0" t="s">
        <v>164</v>
      </c>
      <c r="O22" s="0" t="s">
        <v>165</v>
      </c>
      <c r="P22" s="0" t="s">
        <v>164</v>
      </c>
      <c r="Q22" s="0" t="s">
        <v>108</v>
      </c>
      <c r="R22" s="0" t="s">
        <v>200</v>
      </c>
      <c r="S22" s="0" t="s">
        <v>201</v>
      </c>
    </row>
    <row r="23" customFormat="false" ht="12.8" hidden="false" customHeight="false" outlineLevel="0" collapsed="false">
      <c r="A23" s="20" t="s">
        <v>93</v>
      </c>
      <c r="B23" s="0" t="s">
        <v>110</v>
      </c>
      <c r="C23" s="0" t="n">
        <v>9</v>
      </c>
      <c r="D23" s="0" t="n">
        <v>3</v>
      </c>
      <c r="E23" s="0" t="n">
        <v>4</v>
      </c>
      <c r="F23" s="0" t="s">
        <v>163</v>
      </c>
      <c r="G23" s="0" t="n">
        <v>1</v>
      </c>
      <c r="H23" s="0" t="n">
        <v>2</v>
      </c>
      <c r="I23" s="0" t="n">
        <v>4</v>
      </c>
      <c r="J23" s="0" t="n">
        <v>2</v>
      </c>
      <c r="K23" s="0" t="n">
        <v>4</v>
      </c>
      <c r="L23" s="0" t="n">
        <v>6</v>
      </c>
      <c r="M23" s="0" t="n">
        <v>6</v>
      </c>
      <c r="N23" s="0" t="s">
        <v>164</v>
      </c>
      <c r="O23" s="0" t="s">
        <v>165</v>
      </c>
      <c r="P23" s="0" t="s">
        <v>164</v>
      </c>
      <c r="Q23" s="0" t="s">
        <v>30</v>
      </c>
      <c r="R23" s="0" t="s">
        <v>195</v>
      </c>
      <c r="S23" s="0" t="s">
        <v>202</v>
      </c>
    </row>
    <row r="24" customFormat="false" ht="12.8" hidden="false" customHeight="false" outlineLevel="0" collapsed="false">
      <c r="A24" s="20" t="s">
        <v>93</v>
      </c>
      <c r="B24" s="0" t="s">
        <v>111</v>
      </c>
      <c r="C24" s="0" t="n">
        <v>9</v>
      </c>
      <c r="D24" s="0" t="n">
        <v>3</v>
      </c>
      <c r="E24" s="0" t="n">
        <v>4</v>
      </c>
      <c r="F24" s="0" t="s">
        <v>163</v>
      </c>
      <c r="G24" s="0" t="n">
        <v>1</v>
      </c>
      <c r="H24" s="0" t="n">
        <v>2</v>
      </c>
      <c r="I24" s="0" t="n">
        <v>4</v>
      </c>
      <c r="J24" s="0" t="n">
        <v>2</v>
      </c>
      <c r="K24" s="0" t="n">
        <v>4</v>
      </c>
      <c r="L24" s="0" t="n">
        <v>6</v>
      </c>
      <c r="M24" s="0" t="n">
        <v>6</v>
      </c>
      <c r="N24" s="0" t="s">
        <v>164</v>
      </c>
      <c r="O24" s="0" t="s">
        <v>165</v>
      </c>
      <c r="P24" s="0" t="s">
        <v>164</v>
      </c>
      <c r="Q24" s="0" t="s">
        <v>30</v>
      </c>
      <c r="R24" s="0" t="s">
        <v>200</v>
      </c>
      <c r="S24" s="0" t="s">
        <v>203</v>
      </c>
    </row>
    <row r="25" customFormat="false" ht="12.8" hidden="false" customHeight="false" outlineLevel="0" collapsed="false">
      <c r="A25" s="20" t="s">
        <v>93</v>
      </c>
      <c r="B25" s="0" t="s">
        <v>113</v>
      </c>
      <c r="C25" s="0" t="n">
        <v>9</v>
      </c>
      <c r="D25" s="0" t="n">
        <v>3</v>
      </c>
      <c r="E25" s="0" t="n">
        <v>4</v>
      </c>
      <c r="F25" s="0" t="s">
        <v>163</v>
      </c>
      <c r="G25" s="0" t="n">
        <v>1</v>
      </c>
      <c r="H25" s="0" t="n">
        <v>2</v>
      </c>
      <c r="I25" s="0" t="n">
        <v>4</v>
      </c>
      <c r="J25" s="0" t="n">
        <v>2</v>
      </c>
      <c r="K25" s="0" t="n">
        <v>4</v>
      </c>
      <c r="L25" s="0" t="n">
        <v>6</v>
      </c>
      <c r="M25" s="0" t="n">
        <v>6</v>
      </c>
      <c r="N25" s="0" t="s">
        <v>164</v>
      </c>
      <c r="O25" s="0" t="s">
        <v>165</v>
      </c>
      <c r="P25" s="0" t="s">
        <v>164</v>
      </c>
      <c r="Q25" s="0" t="s">
        <v>30</v>
      </c>
      <c r="R25" s="0" t="s">
        <v>204</v>
      </c>
      <c r="S25" s="0" t="s">
        <v>205</v>
      </c>
    </row>
    <row r="26" customFormat="false" ht="12.8" hidden="false" customHeight="false" outlineLevel="0" collapsed="false">
      <c r="A26" s="20" t="s">
        <v>93</v>
      </c>
      <c r="B26" s="0" t="s">
        <v>115</v>
      </c>
      <c r="C26" s="0" t="n">
        <v>9</v>
      </c>
      <c r="D26" s="0" t="n">
        <v>3</v>
      </c>
      <c r="E26" s="0" t="n">
        <v>4</v>
      </c>
      <c r="F26" s="0" t="s">
        <v>163</v>
      </c>
      <c r="G26" s="0" t="n">
        <v>1</v>
      </c>
      <c r="H26" s="0" t="n">
        <v>2</v>
      </c>
      <c r="I26" s="0" t="n">
        <v>4</v>
      </c>
      <c r="J26" s="0" t="n">
        <v>2</v>
      </c>
      <c r="K26" s="0" t="n">
        <v>4</v>
      </c>
      <c r="L26" s="0" t="n">
        <v>6</v>
      </c>
      <c r="M26" s="0" t="n">
        <v>6</v>
      </c>
      <c r="N26" s="0" t="s">
        <v>164</v>
      </c>
      <c r="O26" s="0" t="s">
        <v>165</v>
      </c>
      <c r="P26" s="0" t="s">
        <v>164</v>
      </c>
      <c r="Q26" s="0" t="s">
        <v>30</v>
      </c>
      <c r="R26" s="0" t="s">
        <v>206</v>
      </c>
      <c r="S26" s="0" t="s">
        <v>207</v>
      </c>
    </row>
    <row r="27" customFormat="false" ht="12.8" hidden="false" customHeight="false" outlineLevel="0" collapsed="false">
      <c r="A27" s="20" t="s">
        <v>93</v>
      </c>
      <c r="B27" s="0" t="s">
        <v>117</v>
      </c>
      <c r="C27" s="0" t="n">
        <v>9</v>
      </c>
      <c r="D27" s="0" t="n">
        <v>3</v>
      </c>
      <c r="E27" s="0" t="n">
        <v>4</v>
      </c>
      <c r="F27" s="0" t="s">
        <v>163</v>
      </c>
      <c r="G27" s="0" t="n">
        <v>1</v>
      </c>
      <c r="H27" s="0" t="n">
        <v>2</v>
      </c>
      <c r="I27" s="0" t="n">
        <v>4</v>
      </c>
      <c r="J27" s="0" t="n">
        <v>2</v>
      </c>
      <c r="K27" s="0" t="n">
        <v>4</v>
      </c>
      <c r="L27" s="0" t="n">
        <v>6</v>
      </c>
      <c r="M27" s="0" t="n">
        <v>6</v>
      </c>
      <c r="N27" s="0" t="s">
        <v>164</v>
      </c>
      <c r="O27" s="0" t="s">
        <v>165</v>
      </c>
      <c r="P27" s="0" t="s">
        <v>164</v>
      </c>
      <c r="Q27" s="0" t="s">
        <v>30</v>
      </c>
      <c r="R27" s="0" t="s">
        <v>208</v>
      </c>
      <c r="S27" s="0" t="s">
        <v>209</v>
      </c>
    </row>
    <row r="28" customFormat="false" ht="12.8" hidden="false" customHeight="false" outlineLevel="0" collapsed="false">
      <c r="A28" s="20" t="s">
        <v>93</v>
      </c>
      <c r="B28" s="0" t="s">
        <v>119</v>
      </c>
      <c r="C28" s="0" t="n">
        <v>9</v>
      </c>
      <c r="D28" s="0" t="n">
        <v>3</v>
      </c>
      <c r="E28" s="0" t="n">
        <v>4</v>
      </c>
      <c r="F28" s="0" t="s">
        <v>163</v>
      </c>
      <c r="G28" s="0" t="n">
        <v>1</v>
      </c>
      <c r="H28" s="0" t="n">
        <v>2</v>
      </c>
      <c r="I28" s="0" t="n">
        <v>4</v>
      </c>
      <c r="J28" s="0" t="n">
        <v>1</v>
      </c>
      <c r="K28" s="0" t="n">
        <v>4</v>
      </c>
      <c r="L28" s="0" t="n">
        <v>6</v>
      </c>
      <c r="M28" s="0" t="n">
        <v>5</v>
      </c>
      <c r="N28" s="0" t="s">
        <v>210</v>
      </c>
      <c r="O28" s="0" t="s">
        <v>211</v>
      </c>
      <c r="P28" s="0" t="s">
        <v>212</v>
      </c>
      <c r="Q28" s="0" t="s">
        <v>120</v>
      </c>
      <c r="R28" s="0" t="s">
        <v>213</v>
      </c>
      <c r="S28" s="0" t="s">
        <v>214</v>
      </c>
    </row>
    <row r="29" customFormat="false" ht="12.8" hidden="false" customHeight="false" outlineLevel="0" collapsed="false">
      <c r="A29" s="20" t="s">
        <v>93</v>
      </c>
      <c r="B29" s="0" t="s">
        <v>122</v>
      </c>
      <c r="C29" s="0" t="n">
        <v>9</v>
      </c>
      <c r="D29" s="0" t="n">
        <v>3</v>
      </c>
      <c r="E29" s="0" t="n">
        <v>4</v>
      </c>
      <c r="F29" s="0" t="s">
        <v>163</v>
      </c>
      <c r="G29" s="0" t="n">
        <v>1</v>
      </c>
      <c r="H29" s="0" t="n">
        <v>2</v>
      </c>
      <c r="I29" s="0" t="n">
        <v>4</v>
      </c>
      <c r="J29" s="0" t="n">
        <v>1</v>
      </c>
      <c r="K29" s="0" t="n">
        <v>4</v>
      </c>
      <c r="L29" s="0" t="n">
        <v>6</v>
      </c>
      <c r="M29" s="0" t="n">
        <v>5</v>
      </c>
      <c r="N29" s="0" t="s">
        <v>210</v>
      </c>
      <c r="O29" s="0" t="s">
        <v>211</v>
      </c>
      <c r="P29" s="0" t="s">
        <v>212</v>
      </c>
      <c r="Q29" s="0" t="s">
        <v>123</v>
      </c>
      <c r="R29" s="0" t="s">
        <v>215</v>
      </c>
      <c r="S29" s="0" t="s">
        <v>216</v>
      </c>
    </row>
    <row r="30" customFormat="false" ht="12.8" hidden="false" customHeight="false" outlineLevel="0" collapsed="false">
      <c r="A30" s="20" t="s">
        <v>93</v>
      </c>
      <c r="B30" s="0" t="s">
        <v>125</v>
      </c>
      <c r="C30" s="0" t="n">
        <v>9</v>
      </c>
      <c r="D30" s="0" t="n">
        <v>3</v>
      </c>
      <c r="E30" s="0" t="n">
        <v>4</v>
      </c>
      <c r="F30" s="0" t="s">
        <v>163</v>
      </c>
      <c r="G30" s="0" t="n">
        <v>1</v>
      </c>
      <c r="H30" s="0" t="n">
        <v>2</v>
      </c>
      <c r="I30" s="0" t="n">
        <v>4</v>
      </c>
      <c r="J30" s="0" t="n">
        <v>2</v>
      </c>
      <c r="K30" s="0" t="n">
        <v>4</v>
      </c>
      <c r="L30" s="0" t="n">
        <v>6</v>
      </c>
      <c r="M30" s="0" t="n">
        <v>6</v>
      </c>
      <c r="N30" s="0" t="s">
        <v>164</v>
      </c>
      <c r="O30" s="0" t="s">
        <v>165</v>
      </c>
      <c r="P30" s="0" t="s">
        <v>164</v>
      </c>
      <c r="Q30" s="0" t="s">
        <v>126</v>
      </c>
      <c r="R30" s="0" t="s">
        <v>217</v>
      </c>
      <c r="S30" s="0" t="s">
        <v>218</v>
      </c>
    </row>
    <row r="31" s="10" customFormat="true" ht="12.8" hidden="false" customHeight="false" outlineLevel="0" collapsed="false">
      <c r="A31" s="20" t="s">
        <v>93</v>
      </c>
      <c r="B31" s="10" t="s">
        <v>128</v>
      </c>
      <c r="C31" s="10" t="n">
        <v>9</v>
      </c>
      <c r="D31" s="10" t="n">
        <v>3</v>
      </c>
      <c r="E31" s="10" t="n">
        <v>4</v>
      </c>
      <c r="F31" s="10" t="s">
        <v>163</v>
      </c>
      <c r="G31" s="10" t="n">
        <v>1</v>
      </c>
      <c r="H31" s="10" t="n">
        <v>2</v>
      </c>
      <c r="I31" s="10" t="n">
        <v>4</v>
      </c>
      <c r="J31" s="10" t="n">
        <v>2</v>
      </c>
      <c r="K31" s="10" t="n">
        <v>4</v>
      </c>
      <c r="L31" s="10" t="n">
        <v>6</v>
      </c>
      <c r="M31" s="10" t="n">
        <v>6</v>
      </c>
      <c r="N31" s="10" t="s">
        <v>164</v>
      </c>
      <c r="O31" s="10" t="s">
        <v>165</v>
      </c>
      <c r="P31" s="10" t="s">
        <v>164</v>
      </c>
      <c r="Q31" s="10" t="s">
        <v>126</v>
      </c>
      <c r="R31" s="10" t="s">
        <v>219</v>
      </c>
      <c r="S31" s="10" t="s">
        <v>220</v>
      </c>
    </row>
    <row r="32" customFormat="false" ht="12.8" hidden="false" customHeight="false" outlineLevel="0" collapsed="false">
      <c r="A32" s="20" t="s">
        <v>131</v>
      </c>
      <c r="B32" s="4" t="s">
        <v>20</v>
      </c>
      <c r="C32" s="0" t="n">
        <v>17</v>
      </c>
      <c r="D32" s="0" t="n">
        <v>5</v>
      </c>
      <c r="E32" s="0" t="n">
        <v>6</v>
      </c>
      <c r="F32" s="0" t="s">
        <v>221</v>
      </c>
      <c r="G32" s="0" t="n">
        <v>2</v>
      </c>
      <c r="H32" s="0" t="n">
        <v>8</v>
      </c>
      <c r="I32" s="0" t="n">
        <v>6</v>
      </c>
      <c r="J32" s="0" t="n">
        <v>5</v>
      </c>
      <c r="K32" s="0" t="n">
        <v>4</v>
      </c>
      <c r="L32" s="0" t="n">
        <v>14</v>
      </c>
      <c r="M32" s="0" t="n">
        <v>9</v>
      </c>
      <c r="N32" s="0" t="s">
        <v>222</v>
      </c>
      <c r="O32" s="0" t="s">
        <v>223</v>
      </c>
      <c r="P32" s="0" t="s">
        <v>224</v>
      </c>
      <c r="Q32" s="0" t="s">
        <v>132</v>
      </c>
      <c r="R32" s="0" t="s">
        <v>225</v>
      </c>
      <c r="S32" s="0" t="s">
        <v>226</v>
      </c>
    </row>
    <row r="33" customFormat="false" ht="12.8" hidden="false" customHeight="false" outlineLevel="0" collapsed="false">
      <c r="A33" s="20" t="s">
        <v>131</v>
      </c>
      <c r="B33" s="4" t="s">
        <v>23</v>
      </c>
      <c r="C33" s="0" t="n">
        <v>10</v>
      </c>
      <c r="D33" s="0" t="n">
        <v>4</v>
      </c>
      <c r="E33" s="0" t="n">
        <v>3</v>
      </c>
      <c r="F33" s="0" t="s">
        <v>227</v>
      </c>
      <c r="G33" s="0" t="n">
        <v>2</v>
      </c>
      <c r="H33" s="0" t="n">
        <v>4</v>
      </c>
      <c r="I33" s="0" t="n">
        <v>3</v>
      </c>
      <c r="J33" s="0" t="n">
        <v>3</v>
      </c>
      <c r="K33" s="0" t="n">
        <v>3</v>
      </c>
      <c r="L33" s="0" t="n">
        <v>7</v>
      </c>
      <c r="M33" s="0" t="n">
        <v>6</v>
      </c>
      <c r="N33" s="0" t="s">
        <v>228</v>
      </c>
      <c r="O33" s="0" t="s">
        <v>155</v>
      </c>
      <c r="P33" s="0" t="s">
        <v>229</v>
      </c>
      <c r="Q33" s="0" t="s">
        <v>133</v>
      </c>
      <c r="R33" s="0" t="s">
        <v>230</v>
      </c>
      <c r="S33" s="0" t="s">
        <v>231</v>
      </c>
    </row>
    <row r="34" customFormat="false" ht="12.8" hidden="false" customHeight="false" outlineLevel="0" collapsed="false">
      <c r="A34" s="20" t="s">
        <v>131</v>
      </c>
      <c r="B34" s="0" t="s">
        <v>25</v>
      </c>
      <c r="C34" s="0" t="n">
        <v>11</v>
      </c>
      <c r="D34" s="0" t="n">
        <v>4</v>
      </c>
      <c r="E34" s="0" t="n">
        <v>4</v>
      </c>
      <c r="F34" s="0" t="s">
        <v>232</v>
      </c>
      <c r="G34" s="0" t="n">
        <v>2</v>
      </c>
      <c r="H34" s="0" t="n">
        <v>4</v>
      </c>
      <c r="I34" s="0" t="n">
        <v>4</v>
      </c>
      <c r="J34" s="0" t="n">
        <v>3</v>
      </c>
      <c r="K34" s="0" t="n">
        <v>4</v>
      </c>
      <c r="L34" s="0" t="n">
        <v>8</v>
      </c>
      <c r="M34" s="0" t="n">
        <v>7</v>
      </c>
      <c r="N34" s="0" t="s">
        <v>233</v>
      </c>
      <c r="O34" s="0" t="s">
        <v>155</v>
      </c>
      <c r="P34" s="0" t="s">
        <v>234</v>
      </c>
      <c r="Q34" s="0" t="s">
        <v>134</v>
      </c>
      <c r="R34" s="0" t="s">
        <v>235</v>
      </c>
      <c r="S34" s="0" t="s">
        <v>236</v>
      </c>
    </row>
    <row r="35" customFormat="false" ht="12.8" hidden="false" customHeight="false" outlineLevel="0" collapsed="false">
      <c r="A35" s="20" t="s">
        <v>131</v>
      </c>
      <c r="B35" s="0" t="s">
        <v>29</v>
      </c>
      <c r="C35" s="0" t="n">
        <v>11</v>
      </c>
      <c r="D35" s="0" t="n">
        <v>4</v>
      </c>
      <c r="E35" s="0" t="n">
        <v>4</v>
      </c>
      <c r="F35" s="0" t="s">
        <v>232</v>
      </c>
      <c r="G35" s="0" t="n">
        <v>2</v>
      </c>
      <c r="H35" s="0" t="n">
        <v>4</v>
      </c>
      <c r="I35" s="0" t="n">
        <v>4</v>
      </c>
      <c r="J35" s="0" t="n">
        <v>3</v>
      </c>
      <c r="K35" s="0" t="n">
        <v>4</v>
      </c>
      <c r="L35" s="0" t="n">
        <v>8</v>
      </c>
      <c r="M35" s="0" t="n">
        <v>7</v>
      </c>
      <c r="N35" s="0" t="s">
        <v>233</v>
      </c>
      <c r="O35" s="0" t="s">
        <v>155</v>
      </c>
      <c r="P35" s="0" t="s">
        <v>234</v>
      </c>
      <c r="Q35" s="0" t="s">
        <v>135</v>
      </c>
      <c r="R35" s="0" t="s">
        <v>237</v>
      </c>
      <c r="S35" s="0" t="s">
        <v>238</v>
      </c>
    </row>
    <row r="36" customFormat="false" ht="12.8" hidden="false" customHeight="false" outlineLevel="0" collapsed="false">
      <c r="A36" s="20" t="s">
        <v>131</v>
      </c>
      <c r="B36" s="0" t="s">
        <v>32</v>
      </c>
      <c r="C36" s="0" t="n">
        <v>11</v>
      </c>
      <c r="D36" s="0" t="n">
        <v>4</v>
      </c>
      <c r="E36" s="0" t="n">
        <v>4</v>
      </c>
      <c r="F36" s="0" t="s">
        <v>232</v>
      </c>
      <c r="G36" s="0" t="n">
        <v>2</v>
      </c>
      <c r="H36" s="0" t="n">
        <v>4</v>
      </c>
      <c r="I36" s="0" t="n">
        <v>4</v>
      </c>
      <c r="J36" s="0" t="n">
        <v>3</v>
      </c>
      <c r="K36" s="0" t="n">
        <v>4</v>
      </c>
      <c r="L36" s="0" t="n">
        <v>8</v>
      </c>
      <c r="M36" s="0" t="n">
        <v>7</v>
      </c>
      <c r="N36" s="0" t="s">
        <v>233</v>
      </c>
      <c r="O36" s="0" t="s">
        <v>155</v>
      </c>
      <c r="P36" s="0" t="s">
        <v>234</v>
      </c>
      <c r="Q36" s="0" t="s">
        <v>134</v>
      </c>
      <c r="R36" s="0" t="s">
        <v>239</v>
      </c>
      <c r="S36" s="0" t="s">
        <v>240</v>
      </c>
    </row>
    <row r="37" s="10" customFormat="true" ht="12.8" hidden="false" customHeight="false" outlineLevel="0" collapsed="false">
      <c r="A37" s="20" t="s">
        <v>131</v>
      </c>
      <c r="B37" s="10" t="s">
        <v>46</v>
      </c>
      <c r="C37" s="10" t="n">
        <v>11</v>
      </c>
      <c r="D37" s="10" t="n">
        <v>4</v>
      </c>
      <c r="E37" s="10" t="n">
        <v>4</v>
      </c>
      <c r="F37" s="10" t="s">
        <v>232</v>
      </c>
      <c r="G37" s="10" t="n">
        <v>2</v>
      </c>
      <c r="H37" s="10" t="n">
        <v>4</v>
      </c>
      <c r="I37" s="10" t="n">
        <v>4</v>
      </c>
      <c r="J37" s="10" t="n">
        <v>4</v>
      </c>
      <c r="K37" s="10" t="n">
        <v>4</v>
      </c>
      <c r="L37" s="10" t="n">
        <v>8</v>
      </c>
      <c r="M37" s="10" t="n">
        <v>8</v>
      </c>
      <c r="N37" s="10" t="s">
        <v>241</v>
      </c>
      <c r="O37" s="10" t="s">
        <v>185</v>
      </c>
      <c r="P37" s="10" t="s">
        <v>242</v>
      </c>
      <c r="Q37" s="10" t="s">
        <v>136</v>
      </c>
      <c r="R37" s="10" t="s">
        <v>239</v>
      </c>
      <c r="S37" s="10" t="s">
        <v>243</v>
      </c>
    </row>
    <row r="38" customFormat="false" ht="12.8" hidden="false" customHeight="false" outlineLevel="0" collapsed="false">
      <c r="A38" s="20" t="s">
        <v>139</v>
      </c>
      <c r="B38" s="4" t="s">
        <v>94</v>
      </c>
      <c r="C38" s="0" t="n">
        <v>15</v>
      </c>
      <c r="D38" s="0" t="n">
        <v>4</v>
      </c>
      <c r="E38" s="0" t="n">
        <v>6</v>
      </c>
      <c r="F38" s="0" t="s">
        <v>244</v>
      </c>
      <c r="G38" s="0" t="n">
        <v>1</v>
      </c>
      <c r="H38" s="0" t="n">
        <v>6</v>
      </c>
      <c r="I38" s="0" t="n">
        <v>6</v>
      </c>
      <c r="J38" s="0" t="n">
        <v>4</v>
      </c>
      <c r="K38" s="0" t="n">
        <v>6</v>
      </c>
      <c r="L38" s="0" t="n">
        <v>12</v>
      </c>
      <c r="M38" s="0" t="n">
        <v>10</v>
      </c>
      <c r="N38" s="0" t="s">
        <v>245</v>
      </c>
      <c r="O38" s="0" t="s">
        <v>185</v>
      </c>
      <c r="P38" s="0" t="s">
        <v>246</v>
      </c>
      <c r="Q38" s="0" t="s">
        <v>140</v>
      </c>
      <c r="R38" s="0" t="s">
        <v>247</v>
      </c>
      <c r="S38" s="0" t="s">
        <v>248</v>
      </c>
    </row>
    <row r="39" customFormat="false" ht="12.8" hidden="false" customHeight="false" outlineLevel="0" collapsed="false">
      <c r="A39" s="20" t="s">
        <v>139</v>
      </c>
      <c r="B39" s="4" t="s">
        <v>96</v>
      </c>
      <c r="C39" s="0" t="n">
        <v>18</v>
      </c>
      <c r="D39" s="0" t="n">
        <v>4</v>
      </c>
      <c r="E39" s="0" t="n">
        <v>8</v>
      </c>
      <c r="F39" s="0" t="s">
        <v>249</v>
      </c>
      <c r="G39" s="0" t="n">
        <v>1</v>
      </c>
      <c r="H39" s="0" t="n">
        <v>7</v>
      </c>
      <c r="I39" s="0" t="n">
        <v>8</v>
      </c>
      <c r="J39" s="0" t="n">
        <v>4</v>
      </c>
      <c r="K39" s="0" t="n">
        <v>8</v>
      </c>
      <c r="L39" s="0" t="n">
        <v>15</v>
      </c>
      <c r="M39" s="0" t="n">
        <v>12</v>
      </c>
      <c r="N39" s="0" t="s">
        <v>250</v>
      </c>
      <c r="O39" s="0" t="s">
        <v>185</v>
      </c>
      <c r="P39" s="0" t="s">
        <v>251</v>
      </c>
      <c r="Q39" s="0" t="s">
        <v>141</v>
      </c>
      <c r="R39" s="0" t="s">
        <v>252</v>
      </c>
      <c r="S39" s="0" t="s">
        <v>253</v>
      </c>
    </row>
    <row r="40" customFormat="false" ht="12.8" hidden="false" customHeight="false" outlineLevel="0" collapsed="false">
      <c r="A40" s="20" t="s">
        <v>139</v>
      </c>
      <c r="B40" s="0" t="s">
        <v>110</v>
      </c>
      <c r="C40" s="0" t="n">
        <v>12</v>
      </c>
      <c r="D40" s="0" t="n">
        <v>4</v>
      </c>
      <c r="E40" s="0" t="n">
        <v>5</v>
      </c>
      <c r="F40" s="0" t="s">
        <v>254</v>
      </c>
      <c r="G40" s="0" t="n">
        <v>1</v>
      </c>
      <c r="H40" s="0" t="n">
        <v>4</v>
      </c>
      <c r="I40" s="0" t="n">
        <v>5</v>
      </c>
      <c r="J40" s="0" t="n">
        <v>4</v>
      </c>
      <c r="K40" s="0" t="n">
        <v>4</v>
      </c>
      <c r="L40" s="0" t="n">
        <v>9</v>
      </c>
      <c r="M40" s="0" t="n">
        <v>8</v>
      </c>
      <c r="N40" s="0" t="s">
        <v>255</v>
      </c>
      <c r="O40" s="0" t="s">
        <v>256</v>
      </c>
      <c r="P40" s="0" t="s">
        <v>257</v>
      </c>
      <c r="Q40" s="0" t="s">
        <v>142</v>
      </c>
      <c r="R40" s="0" t="s">
        <v>258</v>
      </c>
      <c r="S40" s="0" t="s">
        <v>259</v>
      </c>
    </row>
    <row r="41" customFormat="false" ht="12.8" hidden="false" customHeight="false" outlineLevel="0" collapsed="false">
      <c r="A41" s="20" t="s">
        <v>139</v>
      </c>
      <c r="B41" s="0" t="s">
        <v>143</v>
      </c>
      <c r="C41" s="0" t="n">
        <v>12</v>
      </c>
      <c r="D41" s="0" t="n">
        <v>4</v>
      </c>
      <c r="E41" s="0" t="n">
        <v>5</v>
      </c>
      <c r="F41" s="0" t="s">
        <v>254</v>
      </c>
      <c r="G41" s="0" t="n">
        <v>1</v>
      </c>
      <c r="H41" s="0" t="n">
        <v>4</v>
      </c>
      <c r="I41" s="0" t="n">
        <v>5</v>
      </c>
      <c r="J41" s="0" t="n">
        <v>4</v>
      </c>
      <c r="K41" s="0" t="n">
        <v>4</v>
      </c>
      <c r="L41" s="0" t="n">
        <v>9</v>
      </c>
      <c r="M41" s="0" t="n">
        <v>8</v>
      </c>
      <c r="N41" s="0" t="s">
        <v>255</v>
      </c>
      <c r="O41" s="0" t="s">
        <v>256</v>
      </c>
      <c r="P41" s="0" t="s">
        <v>257</v>
      </c>
      <c r="Q41" s="0" t="s">
        <v>144</v>
      </c>
      <c r="R41" s="0" t="s">
        <v>258</v>
      </c>
      <c r="S41" s="0" t="s">
        <v>260</v>
      </c>
    </row>
    <row r="43" customFormat="false" ht="12.8" hidden="false" customHeight="false" outlineLevel="0" collapsed="false">
      <c r="A43" s="0" t="s">
        <v>59</v>
      </c>
    </row>
    <row r="44" customFormat="false" ht="12.8" hidden="false" customHeight="false" outlineLevel="0" collapsed="false">
      <c r="A44" s="0" t="s">
        <v>0</v>
      </c>
      <c r="B44" s="0" t="s">
        <v>61</v>
      </c>
    </row>
    <row r="45" customFormat="false" ht="12.8" hidden="false" customHeight="false" outlineLevel="0" collapsed="false">
      <c r="A45" s="0" t="s">
        <v>1</v>
      </c>
      <c r="B45" s="0" t="s">
        <v>64</v>
      </c>
    </row>
    <row r="46" customFormat="false" ht="12.8" hidden="false" customHeight="false" outlineLevel="0" collapsed="false">
      <c r="A46" s="0" t="s">
        <v>66</v>
      </c>
      <c r="B46" s="0" t="s">
        <v>67</v>
      </c>
    </row>
    <row r="47" customFormat="false" ht="12.8" hidden="false" customHeight="false" outlineLevel="0" collapsed="false">
      <c r="A47" s="0" t="s">
        <v>3</v>
      </c>
      <c r="B47" s="0" t="s">
        <v>69</v>
      </c>
    </row>
    <row r="48" customFormat="false" ht="12.8" hidden="false" customHeight="false" outlineLevel="0" collapsed="false">
      <c r="A48" s="0" t="s">
        <v>4</v>
      </c>
      <c r="B48" s="0" t="s">
        <v>72</v>
      </c>
    </row>
    <row r="49" customFormat="false" ht="12.8" hidden="false" customHeight="false" outlineLevel="0" collapsed="false">
      <c r="A49" s="0" t="s">
        <v>73</v>
      </c>
      <c r="B49" s="0" t="s">
        <v>74</v>
      </c>
    </row>
    <row r="50" customFormat="false" ht="12.8" hidden="false" customHeight="false" outlineLevel="0" collapsed="false">
      <c r="A50" s="0" t="s">
        <v>75</v>
      </c>
      <c r="B50" s="0" t="s">
        <v>76</v>
      </c>
    </row>
    <row r="51" customFormat="false" ht="12.8" hidden="false" customHeight="false" outlineLevel="0" collapsed="false">
      <c r="A51" s="0" t="s">
        <v>77</v>
      </c>
      <c r="B51" s="0" t="s">
        <v>78</v>
      </c>
    </row>
    <row r="52" customFormat="false" ht="12.8" hidden="false" customHeight="false" outlineLevel="0" collapsed="false">
      <c r="A52" s="0" t="s">
        <v>79</v>
      </c>
      <c r="B52" s="0" t="s">
        <v>80</v>
      </c>
    </row>
    <row r="53" customFormat="false" ht="12.8" hidden="false" customHeight="false" outlineLevel="0" collapsed="false">
      <c r="A53" s="0" t="s">
        <v>9</v>
      </c>
      <c r="B53" s="0" t="s">
        <v>81</v>
      </c>
    </row>
    <row r="54" customFormat="false" ht="12.8" hidden="false" customHeight="false" outlineLevel="0" collapsed="false">
      <c r="A54" s="0" t="s">
        <v>10</v>
      </c>
      <c r="B54" s="0" t="s">
        <v>82</v>
      </c>
    </row>
    <row r="55" customFormat="false" ht="12.8" hidden="false" customHeight="false" outlineLevel="0" collapsed="false">
      <c r="A55" s="0" t="s">
        <v>11</v>
      </c>
      <c r="B55" s="0" t="s">
        <v>83</v>
      </c>
    </row>
    <row r="56" customFormat="false" ht="12.8" hidden="false" customHeight="false" outlineLevel="0" collapsed="false">
      <c r="A56" s="0" t="s">
        <v>12</v>
      </c>
      <c r="B56" s="0" t="s">
        <v>84</v>
      </c>
    </row>
    <row r="57" customFormat="false" ht="12.8" hidden="false" customHeight="false" outlineLevel="0" collapsed="false">
      <c r="A57" s="0" t="s">
        <v>13</v>
      </c>
      <c r="B57" s="0" t="s">
        <v>85</v>
      </c>
    </row>
    <row r="58" customFormat="false" ht="12.8" hidden="false" customHeight="false" outlineLevel="0" collapsed="false">
      <c r="A58" s="0" t="s">
        <v>14</v>
      </c>
      <c r="B58" s="0" t="s">
        <v>86</v>
      </c>
    </row>
    <row r="59" customFormat="false" ht="12.8" hidden="false" customHeight="false" outlineLevel="0" collapsed="false">
      <c r="A59" s="0" t="s">
        <v>15</v>
      </c>
      <c r="B59" s="0" t="s">
        <v>87</v>
      </c>
    </row>
    <row r="60" customFormat="false" ht="12.8" hidden="false" customHeight="false" outlineLevel="0" collapsed="false">
      <c r="A60" s="0" t="s">
        <v>16</v>
      </c>
      <c r="B60" s="0" t="s">
        <v>88</v>
      </c>
    </row>
    <row r="61" customFormat="false" ht="12.8" hidden="false" customHeight="false" outlineLevel="0" collapsed="false">
      <c r="A61" s="0" t="s">
        <v>89</v>
      </c>
      <c r="B61" s="0" t="s">
        <v>90</v>
      </c>
    </row>
    <row r="62" customFormat="false" ht="12.8" hidden="false" customHeight="false" outlineLevel="0" collapsed="false">
      <c r="A62" s="0" t="s">
        <v>91</v>
      </c>
      <c r="B62" s="0" t="s">
        <v>92</v>
      </c>
    </row>
  </sheetData>
  <mergeCells count="4">
    <mergeCell ref="A2:A15"/>
    <mergeCell ref="A16:A31"/>
    <mergeCell ref="A32:A37"/>
    <mergeCell ref="A38:A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2026-02-11T13:33:48Z</dcterms:modified>
  <cp:revision>48</cp:revision>
  <dc:subject/>
  <dc:title/>
</cp:coreProperties>
</file>